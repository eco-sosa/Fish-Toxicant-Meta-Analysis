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027f2fdc0ae71ed5/Meta-Anaylsis/"/>
    </mc:Choice>
  </mc:AlternateContent>
  <xr:revisionPtr revIDLastSave="51" documentId="11_F25DC773A252ABDACC10485CF15960445BDE58EF" xr6:coauthVersionLast="47" xr6:coauthVersionMax="47" xr10:uidLastSave="{9208F626-8AF6-45B6-868E-4BDB2F1BB067}"/>
  <bookViews>
    <workbookView xWindow="-16320" yWindow="-4125" windowWidth="16440" windowHeight="29040" xr2:uid="{00000000-000D-0000-FFFF-FFFF00000000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67" i="1" l="1"/>
  <c r="L67" i="1" s="1"/>
  <c r="J67" i="1"/>
  <c r="K66" i="1"/>
  <c r="L66" i="1" s="1"/>
  <c r="J66" i="1"/>
  <c r="K65" i="1"/>
  <c r="L65" i="1" s="1"/>
  <c r="J65" i="1"/>
  <c r="K64" i="1"/>
  <c r="L64" i="1" s="1"/>
  <c r="J64" i="1"/>
  <c r="K63" i="1"/>
  <c r="L63" i="1" s="1"/>
  <c r="J63" i="1"/>
  <c r="K62" i="1"/>
  <c r="L62" i="1" s="1"/>
  <c r="J62" i="1"/>
  <c r="K61" i="1"/>
  <c r="L61" i="1" s="1"/>
  <c r="J61" i="1"/>
  <c r="K60" i="1"/>
  <c r="L60" i="1" s="1"/>
  <c r="J60" i="1"/>
  <c r="K59" i="1"/>
  <c r="L59" i="1" s="1"/>
  <c r="J59" i="1"/>
  <c r="K58" i="1"/>
  <c r="L58" i="1" s="1"/>
  <c r="J58" i="1"/>
  <c r="L57" i="1"/>
  <c r="L56" i="1"/>
  <c r="L55" i="1"/>
  <c r="L54" i="1"/>
  <c r="L53" i="1"/>
  <c r="L52" i="1"/>
  <c r="L51" i="1"/>
  <c r="L50" i="1"/>
  <c r="L49" i="1"/>
  <c r="L48" i="1"/>
  <c r="L47" i="1"/>
  <c r="L46" i="1"/>
  <c r="L45" i="1"/>
  <c r="L44" i="1"/>
  <c r="L43" i="1"/>
  <c r="L42" i="1"/>
  <c r="L41" i="1"/>
  <c r="L40" i="1"/>
  <c r="L39" i="1"/>
  <c r="L38" i="1"/>
  <c r="L37" i="1"/>
  <c r="L36" i="1"/>
  <c r="L35" i="1"/>
  <c r="L34" i="1"/>
  <c r="L33" i="1"/>
  <c r="L32" i="1"/>
  <c r="K31" i="1"/>
  <c r="L31" i="1" s="1"/>
  <c r="J31" i="1"/>
  <c r="K30" i="1"/>
  <c r="L30" i="1" s="1"/>
  <c r="J30" i="1"/>
  <c r="H30" i="1"/>
  <c r="K29" i="1"/>
  <c r="L29" i="1" s="1"/>
  <c r="G29" i="1"/>
  <c r="J29" i="1" s="1"/>
  <c r="K28" i="1"/>
  <c r="L28" i="1" s="1"/>
  <c r="J28" i="1"/>
  <c r="K27" i="1"/>
  <c r="L27" i="1" s="1"/>
  <c r="J27" i="1"/>
  <c r="H27" i="1"/>
  <c r="K26" i="1"/>
  <c r="L26" i="1" s="1"/>
  <c r="J26" i="1"/>
  <c r="H26" i="1"/>
  <c r="K25" i="1"/>
  <c r="L25" i="1" s="1"/>
  <c r="J25" i="1"/>
  <c r="H25" i="1"/>
  <c r="K24" i="1"/>
  <c r="L24" i="1" s="1"/>
  <c r="J24" i="1"/>
  <c r="H24" i="1"/>
  <c r="K22" i="1"/>
  <c r="L22" i="1" s="1"/>
  <c r="J22" i="1"/>
  <c r="H22" i="1"/>
  <c r="K21" i="1"/>
  <c r="L21" i="1" s="1"/>
  <c r="G21" i="1"/>
  <c r="H21" i="1" s="1"/>
  <c r="K20" i="1"/>
  <c r="L20" i="1" s="1"/>
  <c r="G20" i="1"/>
  <c r="J20" i="1" s="1"/>
  <c r="K19" i="1"/>
  <c r="L19" i="1" s="1"/>
  <c r="J19" i="1"/>
  <c r="H19" i="1"/>
  <c r="K18" i="1"/>
  <c r="L18" i="1" s="1"/>
  <c r="J18" i="1"/>
  <c r="K17" i="1"/>
  <c r="L17" i="1" s="1"/>
  <c r="G17" i="1"/>
  <c r="J17" i="1" s="1"/>
  <c r="K16" i="1"/>
  <c r="L16" i="1" s="1"/>
  <c r="G16" i="1"/>
  <c r="J16" i="1" s="1"/>
  <c r="K15" i="1"/>
  <c r="L15" i="1" s="1"/>
  <c r="G15" i="1"/>
  <c r="J15" i="1" s="1"/>
  <c r="K14" i="1"/>
  <c r="L14" i="1" s="1"/>
  <c r="J14" i="1"/>
  <c r="H14" i="1"/>
  <c r="K13" i="1"/>
  <c r="L13" i="1" s="1"/>
  <c r="J13" i="1"/>
  <c r="H13" i="1"/>
  <c r="K10" i="1"/>
  <c r="L10" i="1" s="1"/>
  <c r="J10" i="1"/>
  <c r="K9" i="1"/>
  <c r="L9" i="1" s="1"/>
  <c r="J9" i="1"/>
  <c r="K8" i="1"/>
  <c r="L8" i="1" s="1"/>
  <c r="J8" i="1"/>
  <c r="K7" i="1"/>
  <c r="L7" i="1" s="1"/>
  <c r="J7" i="1"/>
  <c r="K6" i="1"/>
  <c r="L6" i="1" s="1"/>
  <c r="J6" i="1"/>
  <c r="K5" i="1"/>
  <c r="L5" i="1" s="1"/>
  <c r="J5" i="1"/>
  <c r="H5" i="1"/>
  <c r="K4" i="1"/>
  <c r="L4" i="1" s="1"/>
  <c r="J4" i="1"/>
  <c r="K3" i="1"/>
  <c r="L3" i="1" s="1"/>
  <c r="J3" i="1"/>
  <c r="K2" i="1"/>
  <c r="L2" i="1" s="1"/>
  <c r="J2" i="1"/>
  <c r="J21" i="1" l="1"/>
</calcChain>
</file>

<file path=xl/sharedStrings.xml><?xml version="1.0" encoding="utf-8"?>
<sst xmlns="http://schemas.openxmlformats.org/spreadsheetml/2006/main" count="319" uniqueCount="106">
  <si>
    <t>Study</t>
  </si>
  <si>
    <t>System</t>
  </si>
  <si>
    <t>Site</t>
  </si>
  <si>
    <t>Toxi Group</t>
  </si>
  <si>
    <t>Relationship</t>
  </si>
  <si>
    <t>r</t>
  </si>
  <si>
    <t>r^2</t>
  </si>
  <si>
    <t>n</t>
  </si>
  <si>
    <t>Effect size</t>
  </si>
  <si>
    <t>Variance</t>
  </si>
  <si>
    <t>Standard Error</t>
  </si>
  <si>
    <t> Johnston, et al., 2001</t>
  </si>
  <si>
    <t>Freshwater</t>
  </si>
  <si>
    <t>Lake Clay</t>
  </si>
  <si>
    <t>Hg</t>
  </si>
  <si>
    <t>Size</t>
  </si>
  <si>
    <t>Hammerschmidt, et al., 1999</t>
  </si>
  <si>
    <t>Four Wisconsin Lakes</t>
  </si>
  <si>
    <t>Harried, et al., 2020</t>
  </si>
  <si>
    <t xml:space="preserve">Lower Trinity River </t>
  </si>
  <si>
    <t>Bodiguel, et al., 2009</t>
  </si>
  <si>
    <t>Gulf of Lions</t>
  </si>
  <si>
    <t>PCBs</t>
  </si>
  <si>
    <t>Nowosad, et al., 2018</t>
  </si>
  <si>
    <t>Baltic Sea basin</t>
  </si>
  <si>
    <t>Sackett, et.al, 2013</t>
  </si>
  <si>
    <t>Six waterbodies in N. Carolina</t>
  </si>
  <si>
    <t>Fisk and Johnston, 1998</t>
  </si>
  <si>
    <t>Lake Manitoba</t>
  </si>
  <si>
    <t>Larsson, et al. 1993</t>
  </si>
  <si>
    <t>Lake in southern Scandinavia</t>
  </si>
  <si>
    <t>Kampire, et al., 2015</t>
  </si>
  <si>
    <t>North End Lake (Carp)</t>
  </si>
  <si>
    <t>Acosta-Lizarraga, et al., 2020</t>
  </si>
  <si>
    <t>Gulf of California</t>
  </si>
  <si>
    <t>Gonads</t>
  </si>
  <si>
    <t>Muscle</t>
  </si>
  <si>
    <t>Hauser-Davis, et al., 2020</t>
  </si>
  <si>
    <t xml:space="preserve"> Rio de Janeiro</t>
  </si>
  <si>
    <t>Embryo</t>
  </si>
  <si>
    <t>lower Trinity River (LTR), Texas</t>
  </si>
  <si>
    <t>Eggs</t>
  </si>
  <si>
    <t>Khadra, et al., 2019</t>
  </si>
  <si>
    <t>Lake Saint-Pierre Quebec, Canada</t>
  </si>
  <si>
    <t xml:space="preserve">Ovaries </t>
  </si>
  <si>
    <t>Jankovska, et al., 2014</t>
  </si>
  <si>
    <t>Prague</t>
  </si>
  <si>
    <t>Sackett, et al., 2013</t>
  </si>
  <si>
    <t>Adger</t>
  </si>
  <si>
    <t>Drevnick, et al., 2006</t>
  </si>
  <si>
    <t>Connecticut River</t>
  </si>
  <si>
    <t>Hammerschmidt, et al., 2005</t>
  </si>
  <si>
    <t xml:space="preserve">Laboratory </t>
  </si>
  <si>
    <t>Johnston, et al., 2001</t>
  </si>
  <si>
    <t>Clay Lake</t>
  </si>
  <si>
    <t>Mauk, et al., 2001</t>
  </si>
  <si>
    <t>Lake Oahe</t>
  </si>
  <si>
    <t>Latif, et al., 2001</t>
  </si>
  <si>
    <t>Brim, et al., 2001</t>
  </si>
  <si>
    <t>Apalachicola River, FL</t>
  </si>
  <si>
    <t>Vandercook</t>
  </si>
  <si>
    <t>Fonds, et al., 1995</t>
  </si>
  <si>
    <t>Loizeau, et al., 1994</t>
  </si>
  <si>
    <t>Baie de Seine</t>
  </si>
  <si>
    <t>Miller, 1993</t>
  </si>
  <si>
    <t>Chinook Salmon</t>
  </si>
  <si>
    <t>Larsson, et al., 1993</t>
  </si>
  <si>
    <t>Scandinavian lake</t>
  </si>
  <si>
    <t>Mac, et al., 1993</t>
  </si>
  <si>
    <t>Great Lakes</t>
  </si>
  <si>
    <t>Yu, et al., 2019</t>
  </si>
  <si>
    <t>Hatching</t>
  </si>
  <si>
    <t>Zhang, et al., 2016</t>
  </si>
  <si>
    <t>Cao, et al., 2016</t>
  </si>
  <si>
    <t>Socha, et al., 2012</t>
  </si>
  <si>
    <t>Huang, et al., 2010</t>
  </si>
  <si>
    <t>Barhoumi, et al., 2016</t>
  </si>
  <si>
    <t>Ren, et al., 2019</t>
  </si>
  <si>
    <t>Mortality</t>
  </si>
  <si>
    <t>Ren, et al., 2019a</t>
  </si>
  <si>
    <t>Ren, et al., 2019b</t>
  </si>
  <si>
    <t>Quintaneiro, et al., 2019</t>
  </si>
  <si>
    <t>Zhao, et al., 2017</t>
  </si>
  <si>
    <t>Tillitt, et al., 2017</t>
  </si>
  <si>
    <t>Lu, et al., 2017</t>
  </si>
  <si>
    <t>Foekema, et al., 2014</t>
  </si>
  <si>
    <t>Chambers, et al., 2012</t>
  </si>
  <si>
    <t>Sisman, et al., 2007</t>
  </si>
  <si>
    <t>Matta, et al., 1997</t>
  </si>
  <si>
    <t>Smith, et al., 1994</t>
  </si>
  <si>
    <t>Growth</t>
  </si>
  <si>
    <t>Zhu, et al., 2019</t>
  </si>
  <si>
    <t>Dang, et al., 2018</t>
  </si>
  <si>
    <t>Huang, et al., 2010a</t>
  </si>
  <si>
    <t>Huang, et al., 2010b</t>
  </si>
  <si>
    <t>Mille et al. (2021)</t>
  </si>
  <si>
    <t>Malinowski, et al., 2021</t>
  </si>
  <si>
    <t>Madariaga-Mendoza et al. 2023</t>
  </si>
  <si>
    <t>Nagamatsu_2021</t>
  </si>
  <si>
    <t>Bhai et al. (2024)</t>
  </si>
  <si>
    <t>Xiong et al. (2022)</t>
  </si>
  <si>
    <t>Hung et al. (2023)</t>
  </si>
  <si>
    <t>Roy et al., 2022</t>
  </si>
  <si>
    <t>Oger et al., 2025</t>
  </si>
  <si>
    <t>Hu et al. 2024</t>
  </si>
  <si>
    <t>Martins et al.,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</si>
</sst>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/>
        <bgColor indexed="64"/>
      </patternFill>
    </fill>
  </fills>
  <borders count="6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6">
    <xf numFmtId="0" fontId="0" fillId="0" borderId="0" xfId="0"/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0" fillId="0" borderId="2" xfId="0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left" vertical="center" wrapText="1"/>
    </xf>
    <xf numFmtId="164" fontId="0" fillId="0" borderId="0" xfId="0" applyNumberFormat="1" applyAlignment="1">
      <alignment horizontal="left"/>
    </xf>
    <xf numFmtId="1" fontId="0" fillId="0" borderId="0" xfId="0" applyNumberFormat="1" applyAlignment="1">
      <alignment horizontal="left"/>
    </xf>
    <xf numFmtId="164" fontId="0" fillId="0" borderId="0" xfId="0" applyNumberFormat="1" applyAlignment="1">
      <alignment vertical="center" wrapText="1"/>
    </xf>
    <xf numFmtId="0" fontId="0" fillId="0" borderId="0" xfId="0" applyAlignment="1">
      <alignment horizontal="left" vertical="center"/>
    </xf>
    <xf numFmtId="164" fontId="0" fillId="0" borderId="0" xfId="0" applyNumberFormat="1" applyAlignment="1">
      <alignment horizontal="left" vertical="center" wrapText="1"/>
    </xf>
    <xf numFmtId="1" fontId="0" fillId="0" borderId="0" xfId="0" applyNumberFormat="1" applyAlignment="1">
      <alignment horizontal="left" vertical="center" wrapText="1"/>
    </xf>
    <xf numFmtId="0" fontId="0" fillId="0" borderId="0" xfId="0" applyAlignment="1">
      <alignment wrapText="1"/>
    </xf>
    <xf numFmtId="0" fontId="0" fillId="2" borderId="0" xfId="0" applyFill="1"/>
    <xf numFmtId="0" fontId="0" fillId="2" borderId="0" xfId="0" applyFill="1" applyAlignment="1">
      <alignment horizontal="left" vertical="top"/>
    </xf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wrapText="1"/>
    </xf>
    <xf numFmtId="165" fontId="0" fillId="2" borderId="0" xfId="0" applyNumberFormat="1" applyFill="1" applyAlignment="1">
      <alignment horizontal="center" vertical="center" wrapText="1"/>
    </xf>
    <xf numFmtId="0" fontId="0" fillId="2" borderId="0" xfId="0" applyFill="1" applyAlignment="1">
      <alignment horizontal="left" vertical="center"/>
    </xf>
    <xf numFmtId="0" fontId="4" fillId="2" borderId="0" xfId="0" applyFont="1" applyFill="1"/>
    <xf numFmtId="164" fontId="0" fillId="2" borderId="0" xfId="0" applyNumberFormat="1" applyFill="1" applyAlignment="1">
      <alignment wrapText="1"/>
    </xf>
    <xf numFmtId="164" fontId="0" fillId="2" borderId="0" xfId="0" applyNumberFormat="1" applyFill="1"/>
    <xf numFmtId="1" fontId="0" fillId="2" borderId="0" xfId="0" applyNumberFormat="1" applyFill="1"/>
    <xf numFmtId="164" fontId="0" fillId="2" borderId="0" xfId="0" applyNumberFormat="1" applyFill="1" applyAlignment="1">
      <alignment vertical="center" wrapText="1"/>
    </xf>
    <xf numFmtId="164" fontId="0" fillId="2" borderId="0" xfId="0" applyNumberFormat="1" applyFill="1" applyAlignment="1">
      <alignment horizontal="center" vertical="center" wrapText="1"/>
    </xf>
    <xf numFmtId="0" fontId="2" fillId="0" borderId="0" xfId="1" applyAlignment="1">
      <alignment vertical="center"/>
    </xf>
    <xf numFmtId="0" fontId="0" fillId="2" borderId="4" xfId="0" applyFill="1" applyBorder="1"/>
    <xf numFmtId="0" fontId="2" fillId="0" borderId="0" xfId="1"/>
    <xf numFmtId="0" fontId="2" fillId="2" borderId="0" xfId="1" applyFill="1" applyAlignment="1">
      <alignment vertical="center"/>
    </xf>
    <xf numFmtId="0" fontId="2" fillId="2" borderId="0" xfId="1" applyFill="1"/>
    <xf numFmtId="0" fontId="0" fillId="3" borderId="0" xfId="0" applyFill="1"/>
    <xf numFmtId="0" fontId="0" fillId="2" borderId="5" xfId="0" applyFill="1" applyBorder="1"/>
    <xf numFmtId="0" fontId="0" fillId="4" borderId="0" xfId="0" applyFill="1"/>
  </cellXfs>
  <cellStyles count="2">
    <cellStyle name="Hyperlink" xfId="1" builtinId="8"/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027f2fdc0ae71ed5/Meta-Anaylsis/Shared%20Current%20Work/Cleaned_Data.xlsx" TargetMode="External"/><Relationship Id="rId1" Type="http://schemas.openxmlformats.org/officeDocument/2006/relationships/externalLinkPath" Target="Shared%20Current%20Work/Cleaned_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able Search Terms"/>
      <sheetName val="Results_all"/>
      <sheetName val="Studies Table"/>
      <sheetName val="Table Num ES"/>
      <sheetName val="Inclusive Size"/>
      <sheetName val="Forest plot"/>
      <sheetName val="Con_Size"/>
      <sheetName val="Inclusive_Muscle"/>
      <sheetName val="Con_Muscle"/>
      <sheetName val="Inclusive Hatching"/>
      <sheetName val="Conservative Hatching"/>
      <sheetName val="Inclusive Mortality"/>
      <sheetName val="Con_Mortality"/>
      <sheetName val="Inclusive_Growth"/>
      <sheetName val="Con_Growt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2">
          <cell r="AC2">
            <v>-4.9414472981973869</v>
          </cell>
          <cell r="AD2">
            <v>2.7014917834051877</v>
          </cell>
        </row>
        <row r="3">
          <cell r="AC3">
            <v>-0.81692438121149402</v>
          </cell>
          <cell r="AD3">
            <v>0.72228045371814853</v>
          </cell>
        </row>
        <row r="4">
          <cell r="AC4">
            <v>-0.11941690159732764</v>
          </cell>
          <cell r="AD4">
            <v>0.66785503303225879</v>
          </cell>
        </row>
        <row r="5">
          <cell r="AC5">
            <v>-0.36838066373857431</v>
          </cell>
          <cell r="AD5">
            <v>0.67797535945137266</v>
          </cell>
        </row>
        <row r="6">
          <cell r="AC6">
            <v>-0.24927898789510963</v>
          </cell>
          <cell r="AD6">
            <v>0.33592250057525042</v>
          </cell>
        </row>
        <row r="7">
          <cell r="AC7">
            <v>0.19905354279210774</v>
          </cell>
          <cell r="AD7">
            <v>0.6699685260748407</v>
          </cell>
        </row>
        <row r="8">
          <cell r="AC8">
            <v>0.41408164253023366</v>
          </cell>
          <cell r="AD8">
            <v>0.27202490437543342</v>
          </cell>
        </row>
        <row r="9">
          <cell r="AC9">
            <v>-0.26732060560024473</v>
          </cell>
          <cell r="AD9">
            <v>0.67262169218154011</v>
          </cell>
        </row>
        <row r="10">
          <cell r="AC10">
            <v>-1.6535308904708408</v>
          </cell>
          <cell r="AD10">
            <v>0.67088527535883069</v>
          </cell>
        </row>
        <row r="11">
          <cell r="AC11">
            <v>0.23753654689565346</v>
          </cell>
          <cell r="AD11">
            <v>0.67136863425925919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ciencedirect.com/science/article/abs/pii/S0380133093712630?via%3Dihub" TargetMode="External"/><Relationship Id="rId13" Type="http://schemas.openxmlformats.org/officeDocument/2006/relationships/hyperlink" Target="https://www.tandfonline.com/doi/full/10.1080/10934529.2019.1568793" TargetMode="External"/><Relationship Id="rId18" Type="http://schemas.openxmlformats.org/officeDocument/2006/relationships/hyperlink" Target="https://www.sciencedirect.com/science/article/pii/S0147651310002095" TargetMode="External"/><Relationship Id="rId3" Type="http://schemas.openxmlformats.org/officeDocument/2006/relationships/hyperlink" Target="https://www.sciencedirect.com/science/article/pii/S0166445X1630306X" TargetMode="External"/><Relationship Id="rId7" Type="http://schemas.openxmlformats.org/officeDocument/2006/relationships/hyperlink" Target="https://pubmed.ncbi.nlm.nih.gov/26823140/" TargetMode="External"/><Relationship Id="rId12" Type="http://schemas.openxmlformats.org/officeDocument/2006/relationships/hyperlink" Target="https://www.sciencedirect.com/science/article/pii/S0166445X1630306X" TargetMode="External"/><Relationship Id="rId17" Type="http://schemas.openxmlformats.org/officeDocument/2006/relationships/hyperlink" Target="https://www.ncbi.nlm.nih.gov/pmc/articles/PMC4051353/" TargetMode="External"/><Relationship Id="rId2" Type="http://schemas.openxmlformats.org/officeDocument/2006/relationships/hyperlink" Target="https://click.endnote.com/viewer?doi=10.1007%2Fs00128-019-02619-9&amp;token=WzI0NjE1MTEsIjEwLjEwMDcvczAwMTI4LTAxOS0wMjYxOS05Il0.oLw2jpRHoLaMu14VCc45qw_6OQc" TargetMode="External"/><Relationship Id="rId16" Type="http://schemas.openxmlformats.org/officeDocument/2006/relationships/hyperlink" Target="https://setac.onlinelibrary.wiley.com/doi/10.1002/etc.3614" TargetMode="External"/><Relationship Id="rId1" Type="http://schemas.openxmlformats.org/officeDocument/2006/relationships/hyperlink" Target="https://www.frontiersin.org/articles/10.3389/fmars.2019.00754/full" TargetMode="External"/><Relationship Id="rId6" Type="http://schemas.openxmlformats.org/officeDocument/2006/relationships/hyperlink" Target="https://www.sciencedirect.com/science/article/pii/S0147651310002095" TargetMode="External"/><Relationship Id="rId11" Type="http://schemas.openxmlformats.org/officeDocument/2006/relationships/hyperlink" Target="https://www.sciencedirect.com/science/article/pii/S1532045619303059" TargetMode="External"/><Relationship Id="rId5" Type="http://schemas.openxmlformats.org/officeDocument/2006/relationships/hyperlink" Target="https://www.researchgate.net/publication/272212923_The_Effect_of_Polychlorinated_Biphenyls_Mixture_Aroclor_1254_on_the_Embryonic_Development_and_Hatching_of_Prussian_Carp_Carassius_Gibelio_and_Common_Carp_Cyprinus_Carpio_Actinopterygii_Cypriniformes_C" TargetMode="External"/><Relationship Id="rId15" Type="http://schemas.openxmlformats.org/officeDocument/2006/relationships/hyperlink" Target="https://reader.elsevier.com/reader/sd/pii/S0045653518309512?token=A9FA194F1255D1AFCE7ACD3475E8A161FEAE5F1FA40AA42CF83ECA914310F37388C4584A402936BBB6B00AD32603236A&amp;originRegion=us-east-1&amp;originCreation=20211110211809" TargetMode="External"/><Relationship Id="rId10" Type="http://schemas.openxmlformats.org/officeDocument/2006/relationships/hyperlink" Target="https://click.endnote.com/viewer?doi=10.1007%2Fs00128-019-02619-9&amp;token=WzI0NjE1MTEsIjEwLjEwMDcvczAwMTI4LTAxOS0wMjYxOS05Il0.oLw2jpRHoLaMu14VCc45qw_6OQc" TargetMode="External"/><Relationship Id="rId19" Type="http://schemas.openxmlformats.org/officeDocument/2006/relationships/hyperlink" Target="https://www.sciencedirect.com/science/article/pii/S1532045610000530?casa_token=pPlbnNLmjhUAAAAA:pSdUhB8mIWGp2yRcDHxlpjvnzidbtflwjZczV3y5Pkx2IDUHdYPzpIJsmEHeGqop9nDZiZmc" TargetMode="External"/><Relationship Id="rId4" Type="http://schemas.openxmlformats.org/officeDocument/2006/relationships/hyperlink" Target="https://ieeexplore.ieee.org/document/7485615" TargetMode="External"/><Relationship Id="rId9" Type="http://schemas.openxmlformats.org/officeDocument/2006/relationships/hyperlink" Target="file:///C:\Users\Brandon%20Sosa\Downloads\Effects_of_PCB_contamination_on_the_repr.pdf" TargetMode="External"/><Relationship Id="rId14" Type="http://schemas.openxmlformats.org/officeDocument/2006/relationships/hyperlink" Target="https://pubs.rsc.org/en/content/articlepdf/2019/ra/c9ra00770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85"/>
  <sheetViews>
    <sheetView tabSelected="1" workbookViewId="0">
      <pane ySplit="1" topLeftCell="A2" activePane="bottomLeft" state="frozen"/>
      <selection pane="bottomLeft" activeCell="M15" sqref="M15"/>
    </sheetView>
  </sheetViews>
  <sheetFormatPr defaultRowHeight="14.4" x14ac:dyDescent="0.3"/>
  <cols>
    <col min="1" max="1" width="25.5546875" customWidth="1"/>
  </cols>
  <sheetData>
    <row r="1" spans="1:12" ht="29.4" thickBot="1" x14ac:dyDescent="0.35">
      <c r="A1" s="1" t="s">
        <v>0</v>
      </c>
      <c r="B1" s="1" t="s">
        <v>1</v>
      </c>
      <c r="C1" s="1" t="s">
        <v>2</v>
      </c>
      <c r="D1" s="2"/>
      <c r="E1" s="3" t="s">
        <v>3</v>
      </c>
      <c r="F1" s="3" t="s">
        <v>4</v>
      </c>
      <c r="G1" s="4" t="s">
        <v>5</v>
      </c>
      <c r="H1" s="4" t="s">
        <v>6</v>
      </c>
      <c r="I1" s="5" t="s">
        <v>7</v>
      </c>
      <c r="J1" s="6" t="s">
        <v>8</v>
      </c>
      <c r="K1" s="6" t="s">
        <v>9</v>
      </c>
      <c r="L1" s="6" t="s">
        <v>10</v>
      </c>
    </row>
    <row r="2" spans="1:12" x14ac:dyDescent="0.3">
      <c r="A2" s="7" t="s">
        <v>11</v>
      </c>
      <c r="B2" s="7" t="s">
        <v>12</v>
      </c>
      <c r="C2" s="8" t="s">
        <v>13</v>
      </c>
      <c r="D2" s="8"/>
      <c r="E2" t="s">
        <v>14</v>
      </c>
      <c r="F2" t="s">
        <v>15</v>
      </c>
      <c r="G2" s="9">
        <v>0.59160797830996159</v>
      </c>
      <c r="H2" s="9">
        <v>0.35</v>
      </c>
      <c r="I2" s="10">
        <v>44</v>
      </c>
      <c r="J2" s="11">
        <f t="shared" ref="J2:J19" si="0">(0.5*(LN((1+G2)/(1-G2))))</f>
        <v>0.68013627036501967</v>
      </c>
      <c r="K2" s="11">
        <f t="shared" ref="K2" si="1">1/(I2-3)</f>
        <v>2.4390243902439025E-2</v>
      </c>
      <c r="L2" s="11">
        <f t="shared" ref="L2" si="2">SQRT(K2)</f>
        <v>0.15617376188860607</v>
      </c>
    </row>
    <row r="3" spans="1:12" ht="43.2" x14ac:dyDescent="0.3">
      <c r="A3" s="12" t="s">
        <v>16</v>
      </c>
      <c r="B3" s="7" t="s">
        <v>12</v>
      </c>
      <c r="C3" s="8" t="s">
        <v>17</v>
      </c>
      <c r="D3" s="8"/>
      <c r="E3" t="s">
        <v>14</v>
      </c>
      <c r="F3" t="s">
        <v>15</v>
      </c>
      <c r="G3" s="9">
        <v>0.8470084395854407</v>
      </c>
      <c r="H3" s="9">
        <v>0.7174232967289631</v>
      </c>
      <c r="I3" s="10">
        <v>5</v>
      </c>
      <c r="J3" s="11">
        <f t="shared" si="0"/>
        <v>1.2454698951773779</v>
      </c>
      <c r="K3" s="11">
        <f>1/(I3-3)</f>
        <v>0.5</v>
      </c>
      <c r="L3" s="11">
        <f>SQRT(K3)</f>
        <v>0.70710678118654757</v>
      </c>
    </row>
    <row r="4" spans="1:12" ht="43.2" x14ac:dyDescent="0.3">
      <c r="A4" s="12" t="s">
        <v>18</v>
      </c>
      <c r="B4" s="7" t="s">
        <v>12</v>
      </c>
      <c r="C4" s="8" t="s">
        <v>19</v>
      </c>
      <c r="D4" s="8"/>
      <c r="E4" t="s">
        <v>14</v>
      </c>
      <c r="F4" t="s">
        <v>15</v>
      </c>
      <c r="G4" s="9">
        <v>0.72801098892805183</v>
      </c>
      <c r="H4" s="9">
        <v>0.53</v>
      </c>
      <c r="I4" s="10">
        <v>42</v>
      </c>
      <c r="J4" s="11">
        <f t="shared" si="0"/>
        <v>0.92448232183402312</v>
      </c>
      <c r="K4" s="11">
        <f t="shared" ref="K4:K19" si="3">1/(I4-3)</f>
        <v>2.564102564102564E-2</v>
      </c>
      <c r="L4" s="11">
        <f>SQRT(K4)</f>
        <v>0.16012815380508713</v>
      </c>
    </row>
    <row r="5" spans="1:12" ht="28.8" x14ac:dyDescent="0.3">
      <c r="A5" s="12" t="s">
        <v>20</v>
      </c>
      <c r="B5" s="7" t="s">
        <v>12</v>
      </c>
      <c r="C5" s="8" t="s">
        <v>21</v>
      </c>
      <c r="D5" s="8"/>
      <c r="E5" t="s">
        <v>22</v>
      </c>
      <c r="F5" t="s">
        <v>15</v>
      </c>
      <c r="G5" s="13">
        <v>0.48</v>
      </c>
      <c r="H5" s="13">
        <f>G5^2</f>
        <v>0.23039999999999999</v>
      </c>
      <c r="I5" s="14">
        <v>45</v>
      </c>
      <c r="J5" s="11">
        <f t="shared" si="0"/>
        <v>0.5229842775913438</v>
      </c>
      <c r="K5" s="11">
        <f t="shared" si="3"/>
        <v>2.3809523809523808E-2</v>
      </c>
      <c r="L5" s="11">
        <f t="shared" ref="L5:L19" si="4">SQRT(K5)</f>
        <v>0.15430334996209191</v>
      </c>
    </row>
    <row r="6" spans="1:12" ht="28.8" x14ac:dyDescent="0.3">
      <c r="A6" s="12" t="s">
        <v>23</v>
      </c>
      <c r="B6" s="7" t="s">
        <v>12</v>
      </c>
      <c r="C6" s="8" t="s">
        <v>24</v>
      </c>
      <c r="D6" s="8"/>
      <c r="E6" t="s">
        <v>14</v>
      </c>
      <c r="F6" t="s">
        <v>15</v>
      </c>
      <c r="G6" s="9">
        <v>0.52697248505021588</v>
      </c>
      <c r="H6" s="9">
        <v>0.2777</v>
      </c>
      <c r="I6" s="10">
        <v>37</v>
      </c>
      <c r="J6" s="11">
        <f t="shared" si="0"/>
        <v>0.5859443640782187</v>
      </c>
      <c r="K6" s="11">
        <f t="shared" si="3"/>
        <v>2.9411764705882353E-2</v>
      </c>
      <c r="L6" s="11">
        <f t="shared" si="4"/>
        <v>0.17149858514250885</v>
      </c>
    </row>
    <row r="7" spans="1:12" ht="57.6" x14ac:dyDescent="0.3">
      <c r="A7" s="12" t="s">
        <v>25</v>
      </c>
      <c r="B7" s="7" t="s">
        <v>12</v>
      </c>
      <c r="C7" s="8" t="s">
        <v>26</v>
      </c>
      <c r="D7" s="8"/>
      <c r="E7" t="s">
        <v>14</v>
      </c>
      <c r="F7" t="s">
        <v>15</v>
      </c>
      <c r="G7" s="9">
        <v>0.47958315233127197</v>
      </c>
      <c r="H7" s="9">
        <v>0.23</v>
      </c>
      <c r="I7" s="10">
        <v>32</v>
      </c>
      <c r="J7" s="11">
        <f t="shared" si="0"/>
        <v>0.52244277634111635</v>
      </c>
      <c r="K7" s="11">
        <f t="shared" si="3"/>
        <v>3.4482758620689655E-2</v>
      </c>
      <c r="L7" s="11">
        <f t="shared" si="4"/>
        <v>0.18569533817705186</v>
      </c>
    </row>
    <row r="8" spans="1:12" ht="28.8" x14ac:dyDescent="0.3">
      <c r="A8" s="12" t="s">
        <v>27</v>
      </c>
      <c r="B8" s="7" t="s">
        <v>12</v>
      </c>
      <c r="C8" s="15" t="s">
        <v>28</v>
      </c>
      <c r="D8" s="15"/>
      <c r="E8" t="s">
        <v>22</v>
      </c>
      <c r="F8" t="s">
        <v>15</v>
      </c>
      <c r="G8" s="9">
        <v>0.72801098892805183</v>
      </c>
      <c r="H8" s="9">
        <v>0.53</v>
      </c>
      <c r="I8" s="10">
        <v>20</v>
      </c>
      <c r="J8" s="11">
        <f t="shared" si="0"/>
        <v>0.92448232183402312</v>
      </c>
      <c r="K8" s="11">
        <f t="shared" si="3"/>
        <v>5.8823529411764705E-2</v>
      </c>
      <c r="L8" s="11">
        <f t="shared" si="4"/>
        <v>0.24253562503633297</v>
      </c>
    </row>
    <row r="9" spans="1:12" ht="57.6" x14ac:dyDescent="0.3">
      <c r="A9" s="12" t="s">
        <v>29</v>
      </c>
      <c r="B9" s="7" t="s">
        <v>12</v>
      </c>
      <c r="C9" s="8" t="s">
        <v>30</v>
      </c>
      <c r="D9" s="8"/>
      <c r="E9" t="s">
        <v>22</v>
      </c>
      <c r="F9" t="s">
        <v>15</v>
      </c>
      <c r="G9" s="9">
        <v>-0.30330504311775491</v>
      </c>
      <c r="H9" s="9">
        <v>9.199394918066317E-2</v>
      </c>
      <c r="I9" s="10">
        <v>14</v>
      </c>
      <c r="J9" s="11">
        <f t="shared" si="0"/>
        <v>-0.31315549729837633</v>
      </c>
      <c r="K9" s="11">
        <f t="shared" si="3"/>
        <v>9.0909090909090912E-2</v>
      </c>
      <c r="L9" s="11">
        <f t="shared" si="4"/>
        <v>0.30151134457776363</v>
      </c>
    </row>
    <row r="10" spans="1:12" ht="43.2" x14ac:dyDescent="0.3">
      <c r="A10" s="12" t="s">
        <v>31</v>
      </c>
      <c r="B10" s="7" t="s">
        <v>12</v>
      </c>
      <c r="C10" s="8" t="s">
        <v>32</v>
      </c>
      <c r="D10" s="8"/>
      <c r="E10" t="s">
        <v>22</v>
      </c>
      <c r="F10" t="s">
        <v>15</v>
      </c>
      <c r="G10" s="9">
        <v>0.33</v>
      </c>
      <c r="H10" s="9">
        <v>0.10890000000000001</v>
      </c>
      <c r="I10" s="10">
        <v>48</v>
      </c>
      <c r="J10" s="11">
        <f t="shared" si="0"/>
        <v>0.34282825441539394</v>
      </c>
      <c r="K10" s="11">
        <f t="shared" si="3"/>
        <v>2.2222222222222223E-2</v>
      </c>
      <c r="L10" s="11">
        <f t="shared" si="4"/>
        <v>0.14907119849998599</v>
      </c>
    </row>
    <row r="11" spans="1:12" x14ac:dyDescent="0.3">
      <c r="A11" t="s">
        <v>105</v>
      </c>
      <c r="B11" s="7"/>
      <c r="C11" s="8"/>
      <c r="D11" s="8"/>
      <c r="E11" t="s">
        <v>14</v>
      </c>
      <c r="F11" t="s">
        <v>15</v>
      </c>
      <c r="G11" s="9">
        <v>-0.5</v>
      </c>
      <c r="H11" s="9">
        <v>0.25</v>
      </c>
      <c r="I11" s="10">
        <v>5</v>
      </c>
      <c r="J11" s="11">
        <v>-0.54930614433405489</v>
      </c>
      <c r="K11" s="11">
        <v>0.5</v>
      </c>
      <c r="L11" s="11">
        <v>0.70710678118654757</v>
      </c>
    </row>
    <row r="12" spans="1:12" x14ac:dyDescent="0.3">
      <c r="A12" s="33" t="s">
        <v>95</v>
      </c>
      <c r="B12" s="7"/>
      <c r="C12" s="8"/>
      <c r="D12" s="8"/>
      <c r="E12" s="33" t="s">
        <v>14</v>
      </c>
      <c r="F12" t="s">
        <v>15</v>
      </c>
      <c r="G12" s="9">
        <v>0.12830060983196456</v>
      </c>
      <c r="H12" s="9">
        <v>1.6461046483254003E-2</v>
      </c>
      <c r="I12" s="10">
        <v>16</v>
      </c>
      <c r="J12" s="11">
        <v>0.12901163310183197</v>
      </c>
      <c r="K12" s="11">
        <v>7.6923076923076927E-2</v>
      </c>
      <c r="L12" s="11">
        <v>0.27735009811261457</v>
      </c>
    </row>
    <row r="13" spans="1:12" ht="28.8" x14ac:dyDescent="0.3">
      <c r="A13" s="16" t="s">
        <v>33</v>
      </c>
      <c r="B13" s="17"/>
      <c r="C13" s="18" t="s">
        <v>34</v>
      </c>
      <c r="D13" s="16" t="s">
        <v>35</v>
      </c>
      <c r="E13" s="16" t="s">
        <v>14</v>
      </c>
      <c r="F13" s="16" t="s">
        <v>36</v>
      </c>
      <c r="G13" s="19">
        <v>-3.9176024533280986E-2</v>
      </c>
      <c r="H13" s="16">
        <f>G13^2</f>
        <v>1.5347608982322336E-3</v>
      </c>
      <c r="I13" s="16">
        <v>60</v>
      </c>
      <c r="J13" s="20">
        <f t="shared" si="0"/>
        <v>-3.9196084952826185E-2</v>
      </c>
      <c r="K13" s="20">
        <f t="shared" si="3"/>
        <v>1.7543859649122806E-2</v>
      </c>
      <c r="L13" s="20">
        <f t="shared" si="4"/>
        <v>0.13245323570650439</v>
      </c>
    </row>
    <row r="14" spans="1:12" ht="28.8" x14ac:dyDescent="0.3">
      <c r="A14" s="16" t="s">
        <v>37</v>
      </c>
      <c r="B14" s="21"/>
      <c r="C14" s="18" t="s">
        <v>38</v>
      </c>
      <c r="D14" s="16" t="s">
        <v>39</v>
      </c>
      <c r="E14" s="16" t="s">
        <v>14</v>
      </c>
      <c r="F14" s="16" t="s">
        <v>36</v>
      </c>
      <c r="G14" s="19">
        <v>0.53293255745502921</v>
      </c>
      <c r="H14" s="16">
        <f>G14^2</f>
        <v>0.28401711079555803</v>
      </c>
      <c r="I14" s="16">
        <v>13</v>
      </c>
      <c r="J14" s="20">
        <f t="shared" si="0"/>
        <v>0.59423211012268762</v>
      </c>
      <c r="K14" s="20">
        <f t="shared" si="3"/>
        <v>0.1</v>
      </c>
      <c r="L14" s="20">
        <f t="shared" si="4"/>
        <v>0.31622776601683794</v>
      </c>
    </row>
    <row r="15" spans="1:12" ht="72" x14ac:dyDescent="0.3">
      <c r="A15" s="16" t="s">
        <v>18</v>
      </c>
      <c r="B15" s="21"/>
      <c r="C15" s="18" t="s">
        <v>40</v>
      </c>
      <c r="D15" s="16" t="s">
        <v>41</v>
      </c>
      <c r="E15" s="16" t="s">
        <v>14</v>
      </c>
      <c r="F15" s="16" t="s">
        <v>36</v>
      </c>
      <c r="G15" s="19">
        <f>SQRT(0.63)</f>
        <v>0.79372539331937719</v>
      </c>
      <c r="H15" s="16">
        <v>0.62970000000000004</v>
      </c>
      <c r="I15" s="16">
        <v>15</v>
      </c>
      <c r="J15" s="20">
        <f t="shared" si="0"/>
        <v>1.0814208190935315</v>
      </c>
      <c r="K15" s="20">
        <f t="shared" si="3"/>
        <v>8.3333333333333329E-2</v>
      </c>
      <c r="L15" s="20">
        <f t="shared" si="4"/>
        <v>0.28867513459481287</v>
      </c>
    </row>
    <row r="16" spans="1:12" ht="72" x14ac:dyDescent="0.3">
      <c r="A16" s="16" t="s">
        <v>42</v>
      </c>
      <c r="B16" s="21"/>
      <c r="C16" s="18" t="s">
        <v>43</v>
      </c>
      <c r="D16" s="16" t="s">
        <v>35</v>
      </c>
      <c r="E16" s="16" t="s">
        <v>14</v>
      </c>
      <c r="F16" s="16" t="s">
        <v>36</v>
      </c>
      <c r="G16" s="19">
        <f>SQRT(0.6487)</f>
        <v>0.80541914553852023</v>
      </c>
      <c r="H16" s="16">
        <v>0.64870000000000005</v>
      </c>
      <c r="I16" s="16">
        <v>44</v>
      </c>
      <c r="J16" s="20">
        <f t="shared" si="0"/>
        <v>1.1138501382773667</v>
      </c>
      <c r="K16" s="20">
        <f t="shared" si="3"/>
        <v>2.4390243902439025E-2</v>
      </c>
      <c r="L16" s="20">
        <f t="shared" si="4"/>
        <v>0.15617376188860607</v>
      </c>
    </row>
    <row r="17" spans="1:12" ht="28.8" x14ac:dyDescent="0.3">
      <c r="A17" s="16" t="s">
        <v>23</v>
      </c>
      <c r="B17" s="21"/>
      <c r="C17" s="18" t="s">
        <v>24</v>
      </c>
      <c r="D17" s="16" t="s">
        <v>44</v>
      </c>
      <c r="E17" s="16" t="s">
        <v>14</v>
      </c>
      <c r="F17" s="16" t="s">
        <v>36</v>
      </c>
      <c r="G17" s="19">
        <f>SQRT(H17)</f>
        <v>0.88881944173155891</v>
      </c>
      <c r="H17" s="16">
        <v>0.79</v>
      </c>
      <c r="I17" s="16">
        <v>46</v>
      </c>
      <c r="J17" s="20">
        <f t="shared" si="0"/>
        <v>1.416275874034324</v>
      </c>
      <c r="K17" s="20">
        <f t="shared" si="3"/>
        <v>2.3255813953488372E-2</v>
      </c>
      <c r="L17" s="20">
        <f t="shared" si="4"/>
        <v>0.15249857033260467</v>
      </c>
    </row>
    <row r="18" spans="1:12" x14ac:dyDescent="0.3">
      <c r="A18" s="16" t="s">
        <v>45</v>
      </c>
      <c r="B18" s="21"/>
      <c r="C18" s="18" t="s">
        <v>46</v>
      </c>
      <c r="D18" s="16" t="s">
        <v>35</v>
      </c>
      <c r="E18" s="16" t="s">
        <v>14</v>
      </c>
      <c r="F18" s="16" t="s">
        <v>36</v>
      </c>
      <c r="G18" s="19">
        <v>0.34439519146102981</v>
      </c>
      <c r="H18" s="16">
        <v>0.11860804790147939</v>
      </c>
      <c r="I18" s="16">
        <v>8</v>
      </c>
      <c r="J18" s="20">
        <f t="shared" si="0"/>
        <v>0.35907066886105848</v>
      </c>
      <c r="K18" s="20">
        <f t="shared" si="3"/>
        <v>0.2</v>
      </c>
      <c r="L18" s="20">
        <f t="shared" si="4"/>
        <v>0.44721359549995793</v>
      </c>
    </row>
    <row r="19" spans="1:12" x14ac:dyDescent="0.3">
      <c r="A19" s="16" t="s">
        <v>47</v>
      </c>
      <c r="B19" s="21"/>
      <c r="C19" s="16" t="s">
        <v>48</v>
      </c>
      <c r="D19" s="16" t="s">
        <v>41</v>
      </c>
      <c r="E19" s="16" t="s">
        <v>14</v>
      </c>
      <c r="F19" s="16" t="s">
        <v>36</v>
      </c>
      <c r="G19" s="19">
        <v>0.93600000000000005</v>
      </c>
      <c r="H19" s="16">
        <f>G19^2</f>
        <v>0.8760960000000001</v>
      </c>
      <c r="I19" s="16">
        <v>8</v>
      </c>
      <c r="J19" s="20">
        <f t="shared" si="0"/>
        <v>1.7047480922384257</v>
      </c>
      <c r="K19" s="20">
        <f t="shared" si="3"/>
        <v>0.2</v>
      </c>
      <c r="L19" s="20">
        <f t="shared" si="4"/>
        <v>0.44721359549995793</v>
      </c>
    </row>
    <row r="20" spans="1:12" ht="28.8" x14ac:dyDescent="0.3">
      <c r="A20" s="16" t="s">
        <v>49</v>
      </c>
      <c r="B20" s="21"/>
      <c r="C20" s="18" t="s">
        <v>50</v>
      </c>
      <c r="D20" s="16" t="s">
        <v>41</v>
      </c>
      <c r="E20" s="16" t="s">
        <v>14</v>
      </c>
      <c r="F20" s="16" t="s">
        <v>36</v>
      </c>
      <c r="G20" s="19">
        <f>SQRT(H20)</f>
        <v>0.9669539802906858</v>
      </c>
      <c r="H20" s="16">
        <v>0.93500000000000005</v>
      </c>
      <c r="I20" s="16">
        <v>16</v>
      </c>
      <c r="J20" s="20">
        <f>(0.5*(LN((1+G20)/(1-G20))))</f>
        <v>2.0431701477896946</v>
      </c>
      <c r="K20" s="20">
        <f>1/(I20-3)</f>
        <v>7.6923076923076927E-2</v>
      </c>
      <c r="L20" s="20">
        <f>SQRT(K20)</f>
        <v>0.27735009811261457</v>
      </c>
    </row>
    <row r="21" spans="1:12" ht="28.8" x14ac:dyDescent="0.3">
      <c r="A21" s="16" t="s">
        <v>51</v>
      </c>
      <c r="B21" s="21"/>
      <c r="C21" s="18" t="s">
        <v>52</v>
      </c>
      <c r="D21" s="16" t="s">
        <v>41</v>
      </c>
      <c r="E21" s="16" t="s">
        <v>14</v>
      </c>
      <c r="F21" s="16" t="s">
        <v>36</v>
      </c>
      <c r="G21" s="19">
        <f>SQRT(0.94)</f>
        <v>0.96953597148326576</v>
      </c>
      <c r="H21" s="16">
        <f t="shared" ref="H21:H26" si="5">G21^2</f>
        <v>0.94</v>
      </c>
      <c r="I21" s="16">
        <v>39</v>
      </c>
      <c r="J21" s="20">
        <f>(0.5*(LN((1+G21)/(1-G21))))</f>
        <v>2.0845033259138286</v>
      </c>
      <c r="K21" s="20">
        <f>1/(I21-3)</f>
        <v>2.7777777777777776E-2</v>
      </c>
      <c r="L21" s="20">
        <f>SQRT(K21)</f>
        <v>0.16666666666666666</v>
      </c>
    </row>
    <row r="22" spans="1:12" x14ac:dyDescent="0.3">
      <c r="A22" s="22" t="s">
        <v>53</v>
      </c>
      <c r="B22" s="21"/>
      <c r="C22" s="16" t="s">
        <v>54</v>
      </c>
      <c r="D22" s="16" t="s">
        <v>41</v>
      </c>
      <c r="E22" s="16" t="s">
        <v>14</v>
      </c>
      <c r="F22" s="16" t="s">
        <v>36</v>
      </c>
      <c r="G22" s="23">
        <v>0.626</v>
      </c>
      <c r="H22" s="24">
        <f t="shared" si="5"/>
        <v>0.391876</v>
      </c>
      <c r="I22" s="25">
        <v>21</v>
      </c>
      <c r="J22" s="26">
        <f>(0.5*(LN((1+G22)/(1-G22))))</f>
        <v>0.73481124634661199</v>
      </c>
      <c r="K22" s="26">
        <f>1/(I22-3)</f>
        <v>5.5555555555555552E-2</v>
      </c>
      <c r="L22" s="26">
        <f>SQRT(K22)</f>
        <v>0.23570226039551584</v>
      </c>
    </row>
    <row r="23" spans="1:12" x14ac:dyDescent="0.3">
      <c r="A23" t="s">
        <v>55</v>
      </c>
      <c r="C23" t="s">
        <v>56</v>
      </c>
      <c r="D23" t="s">
        <v>35</v>
      </c>
      <c r="E23" s="16" t="s">
        <v>14</v>
      </c>
      <c r="F23" s="16" t="s">
        <v>36</v>
      </c>
      <c r="G23">
        <v>0.49</v>
      </c>
      <c r="H23">
        <v>0.24009999999999998</v>
      </c>
      <c r="I23">
        <v>18</v>
      </c>
      <c r="J23">
        <v>0.53606033661056662</v>
      </c>
      <c r="K23">
        <v>6.6666666666666666E-2</v>
      </c>
      <c r="L23">
        <v>0.2581988897471611</v>
      </c>
    </row>
    <row r="24" spans="1:12" x14ac:dyDescent="0.3">
      <c r="A24" s="16" t="s">
        <v>57</v>
      </c>
      <c r="B24" s="21"/>
      <c r="C24" s="16" t="s">
        <v>54</v>
      </c>
      <c r="D24" s="16" t="s">
        <v>41</v>
      </c>
      <c r="E24" s="16" t="s">
        <v>14</v>
      </c>
      <c r="F24" s="16" t="s">
        <v>36</v>
      </c>
      <c r="G24" s="16">
        <v>0.52</v>
      </c>
      <c r="H24" s="16">
        <f t="shared" si="5"/>
        <v>0.27040000000000003</v>
      </c>
      <c r="I24" s="16">
        <v>14</v>
      </c>
      <c r="J24" s="20">
        <f t="shared" ref="J24:J31" si="6">(0.5*(LN((1+G24)/(1-G24))))</f>
        <v>0.57633975496919276</v>
      </c>
      <c r="K24" s="20">
        <f t="shared" ref="K24:K31" si="7">1/(I24-3)</f>
        <v>9.0909090909090912E-2</v>
      </c>
      <c r="L24" s="20">
        <f t="shared" ref="L24:L67" si="8">SQRT(K24)</f>
        <v>0.30151134457776363</v>
      </c>
    </row>
    <row r="25" spans="1:12" x14ac:dyDescent="0.3">
      <c r="A25" s="16" t="s">
        <v>58</v>
      </c>
      <c r="B25" s="21"/>
      <c r="C25" s="16" t="s">
        <v>59</v>
      </c>
      <c r="D25" s="16" t="s">
        <v>44</v>
      </c>
      <c r="E25" s="16" t="s">
        <v>14</v>
      </c>
      <c r="F25" s="16" t="s">
        <v>36</v>
      </c>
      <c r="G25" s="16">
        <v>0.82</v>
      </c>
      <c r="H25" s="16">
        <f t="shared" si="5"/>
        <v>0.67239999999999989</v>
      </c>
      <c r="I25" s="16">
        <v>11</v>
      </c>
      <c r="J25" s="20">
        <f t="shared" si="6"/>
        <v>1.1568174645903151</v>
      </c>
      <c r="K25" s="20">
        <f t="shared" si="7"/>
        <v>0.125</v>
      </c>
      <c r="L25" s="20">
        <f t="shared" si="8"/>
        <v>0.35355339059327379</v>
      </c>
    </row>
    <row r="26" spans="1:12" x14ac:dyDescent="0.3">
      <c r="A26" s="16" t="s">
        <v>16</v>
      </c>
      <c r="B26" s="21"/>
      <c r="C26" s="16" t="s">
        <v>60</v>
      </c>
      <c r="D26" s="16" t="s">
        <v>41</v>
      </c>
      <c r="E26" s="16" t="s">
        <v>14</v>
      </c>
      <c r="F26" s="16" t="s">
        <v>36</v>
      </c>
      <c r="G26" s="23">
        <v>0.89156146724772811</v>
      </c>
      <c r="H26" s="24">
        <f t="shared" si="5"/>
        <v>0.79488184988092181</v>
      </c>
      <c r="I26" s="25">
        <v>13</v>
      </c>
      <c r="J26" s="27">
        <f t="shared" si="6"/>
        <v>1.4294872230356848</v>
      </c>
      <c r="K26" s="26">
        <f t="shared" si="7"/>
        <v>0.1</v>
      </c>
      <c r="L26" s="26">
        <f t="shared" si="8"/>
        <v>0.31622776601683794</v>
      </c>
    </row>
    <row r="27" spans="1:12" ht="28.8" x14ac:dyDescent="0.3">
      <c r="A27" s="16" t="s">
        <v>61</v>
      </c>
      <c r="B27" s="21"/>
      <c r="C27" s="18" t="s">
        <v>52</v>
      </c>
      <c r="D27" s="16" t="s">
        <v>41</v>
      </c>
      <c r="E27" s="16" t="s">
        <v>22</v>
      </c>
      <c r="F27" s="16" t="s">
        <v>36</v>
      </c>
      <c r="G27" s="16">
        <v>0.73</v>
      </c>
      <c r="H27" s="16">
        <f>G27^2</f>
        <v>0.53289999999999993</v>
      </c>
      <c r="I27" s="16">
        <v>10</v>
      </c>
      <c r="J27" s="20">
        <f t="shared" si="6"/>
        <v>0.92872736424672486</v>
      </c>
      <c r="K27" s="20">
        <f t="shared" si="7"/>
        <v>0.14285714285714285</v>
      </c>
      <c r="L27" s="20">
        <f t="shared" si="8"/>
        <v>0.3779644730092272</v>
      </c>
    </row>
    <row r="28" spans="1:12" x14ac:dyDescent="0.3">
      <c r="A28" s="16" t="s">
        <v>62</v>
      </c>
      <c r="B28" s="21"/>
      <c r="C28" s="16" t="s">
        <v>63</v>
      </c>
      <c r="D28" s="16" t="s">
        <v>35</v>
      </c>
      <c r="E28" s="16" t="s">
        <v>22</v>
      </c>
      <c r="F28" s="16" t="s">
        <v>36</v>
      </c>
      <c r="G28" s="16">
        <v>0.94311855314488868</v>
      </c>
      <c r="H28" s="16">
        <v>0.88947260528610816</v>
      </c>
      <c r="I28" s="16">
        <v>4</v>
      </c>
      <c r="J28" s="20">
        <f t="shared" si="6"/>
        <v>1.7655401204423391</v>
      </c>
      <c r="K28" s="20">
        <f t="shared" si="7"/>
        <v>1</v>
      </c>
      <c r="L28" s="20">
        <f t="shared" si="8"/>
        <v>1</v>
      </c>
    </row>
    <row r="29" spans="1:12" ht="28.8" x14ac:dyDescent="0.3">
      <c r="A29" s="16" t="s">
        <v>64</v>
      </c>
      <c r="B29" s="21"/>
      <c r="C29" s="19" t="s">
        <v>65</v>
      </c>
      <c r="D29" s="16" t="s">
        <v>41</v>
      </c>
      <c r="E29" s="16" t="s">
        <v>22</v>
      </c>
      <c r="F29" s="16" t="s">
        <v>36</v>
      </c>
      <c r="G29" s="16">
        <f>SQRT(H29)</f>
        <v>0.81853527718724506</v>
      </c>
      <c r="H29" s="16">
        <v>0.67</v>
      </c>
      <c r="I29" s="16">
        <v>18</v>
      </c>
      <c r="J29" s="20">
        <f t="shared" si="6"/>
        <v>1.1523626965757028</v>
      </c>
      <c r="K29" s="20">
        <f t="shared" si="7"/>
        <v>6.6666666666666666E-2</v>
      </c>
      <c r="L29" s="20">
        <f t="shared" si="8"/>
        <v>0.2581988897471611</v>
      </c>
    </row>
    <row r="30" spans="1:12" x14ac:dyDescent="0.3">
      <c r="A30" s="16" t="s">
        <v>66</v>
      </c>
      <c r="B30" s="21"/>
      <c r="C30" s="16" t="s">
        <v>67</v>
      </c>
      <c r="D30" s="16" t="s">
        <v>35</v>
      </c>
      <c r="E30" s="16" t="s">
        <v>22</v>
      </c>
      <c r="F30" s="16" t="s">
        <v>36</v>
      </c>
      <c r="G30" s="16">
        <v>0.59</v>
      </c>
      <c r="H30" s="16">
        <f>G30^2</f>
        <v>0.34809999999999997</v>
      </c>
      <c r="I30" s="16">
        <v>14</v>
      </c>
      <c r="J30" s="20">
        <f t="shared" si="6"/>
        <v>0.67766606775796179</v>
      </c>
      <c r="K30" s="20">
        <f t="shared" si="7"/>
        <v>9.0909090909090912E-2</v>
      </c>
      <c r="L30" s="20">
        <f t="shared" si="8"/>
        <v>0.30151134457776363</v>
      </c>
    </row>
    <row r="31" spans="1:12" ht="28.8" x14ac:dyDescent="0.3">
      <c r="A31" s="16" t="s">
        <v>68</v>
      </c>
      <c r="B31" s="21"/>
      <c r="C31" s="19" t="s">
        <v>69</v>
      </c>
      <c r="D31" s="16" t="s">
        <v>41</v>
      </c>
      <c r="E31" s="16" t="s">
        <v>22</v>
      </c>
      <c r="F31" s="16" t="s">
        <v>36</v>
      </c>
      <c r="G31" s="16">
        <v>0.92870010111745904</v>
      </c>
      <c r="H31" s="16">
        <v>0.86248387781557867</v>
      </c>
      <c r="I31" s="16">
        <v>7</v>
      </c>
      <c r="J31" s="20">
        <f t="shared" si="6"/>
        <v>1.6488533115107331</v>
      </c>
      <c r="K31" s="20">
        <f t="shared" si="7"/>
        <v>0.25</v>
      </c>
      <c r="L31" s="20">
        <f t="shared" si="8"/>
        <v>0.5</v>
      </c>
    </row>
    <row r="32" spans="1:12" x14ac:dyDescent="0.3">
      <c r="A32" s="28" t="s">
        <v>70</v>
      </c>
      <c r="E32" s="29" t="s">
        <v>14</v>
      </c>
      <c r="F32" s="16" t="s">
        <v>71</v>
      </c>
      <c r="I32">
        <v>4</v>
      </c>
      <c r="J32" s="29">
        <v>0.10905845832128275</v>
      </c>
      <c r="K32">
        <v>0.50074335920821345</v>
      </c>
      <c r="L32" s="20">
        <f t="shared" si="8"/>
        <v>0.70763222030106387</v>
      </c>
    </row>
    <row r="33" spans="1:12" x14ac:dyDescent="0.3">
      <c r="A33" s="28" t="s">
        <v>72</v>
      </c>
      <c r="E33" s="29" t="s">
        <v>14</v>
      </c>
      <c r="F33" s="16" t="s">
        <v>71</v>
      </c>
      <c r="I33">
        <v>3</v>
      </c>
      <c r="J33" s="29">
        <v>-1.7302120382053598</v>
      </c>
      <c r="K33">
        <v>0.91613614142922872</v>
      </c>
      <c r="L33" s="20">
        <f t="shared" si="8"/>
        <v>0.95715000988832921</v>
      </c>
    </row>
    <row r="34" spans="1:12" x14ac:dyDescent="0.3">
      <c r="A34" s="28" t="s">
        <v>73</v>
      </c>
      <c r="E34" s="29" t="s">
        <v>22</v>
      </c>
      <c r="F34" s="16" t="s">
        <v>71</v>
      </c>
      <c r="I34">
        <v>2</v>
      </c>
      <c r="J34" s="29">
        <v>-4.2889851653796134</v>
      </c>
      <c r="K34">
        <v>3.2994242186057985</v>
      </c>
      <c r="L34" s="20">
        <f t="shared" si="8"/>
        <v>1.8164317269321737</v>
      </c>
    </row>
    <row r="35" spans="1:12" x14ac:dyDescent="0.3">
      <c r="A35" s="28" t="s">
        <v>74</v>
      </c>
      <c r="E35" s="29" t="s">
        <v>22</v>
      </c>
      <c r="F35" s="16" t="s">
        <v>71</v>
      </c>
      <c r="I35">
        <v>4</v>
      </c>
      <c r="J35" s="29">
        <v>4.4548054382357122E-2</v>
      </c>
      <c r="K35">
        <v>0.50012403307182829</v>
      </c>
      <c r="L35" s="20">
        <f t="shared" si="8"/>
        <v>0.70719448037426613</v>
      </c>
    </row>
    <row r="36" spans="1:12" x14ac:dyDescent="0.3">
      <c r="A36" s="30" t="s">
        <v>75</v>
      </c>
      <c r="E36" s="29" t="s">
        <v>14</v>
      </c>
      <c r="F36" s="16" t="s">
        <v>71</v>
      </c>
      <c r="I36">
        <v>4</v>
      </c>
      <c r="J36" s="29">
        <v>-0.28635088834533318</v>
      </c>
      <c r="K36">
        <v>0.50512480195351006</v>
      </c>
      <c r="L36" s="20">
        <f t="shared" si="8"/>
        <v>0.71072132510113273</v>
      </c>
    </row>
    <row r="37" spans="1:12" x14ac:dyDescent="0.3">
      <c r="A37" s="30" t="s">
        <v>76</v>
      </c>
      <c r="E37" s="29" t="s">
        <v>22</v>
      </c>
      <c r="F37" s="16" t="s">
        <v>71</v>
      </c>
      <c r="I37">
        <v>3</v>
      </c>
      <c r="J37" s="29">
        <v>0.26527451137239272</v>
      </c>
      <c r="K37">
        <v>0.6725308805319884</v>
      </c>
      <c r="L37" s="20">
        <f t="shared" si="8"/>
        <v>0.82007980131935232</v>
      </c>
    </row>
    <row r="38" spans="1:12" x14ac:dyDescent="0.3">
      <c r="A38" s="30" t="s">
        <v>68</v>
      </c>
      <c r="E38" s="16" t="s">
        <v>22</v>
      </c>
      <c r="F38" s="16" t="s">
        <v>71</v>
      </c>
      <c r="I38">
        <v>11</v>
      </c>
      <c r="J38" s="16">
        <v>-2.338738328607322</v>
      </c>
      <c r="K38">
        <v>0.94696969696969691</v>
      </c>
      <c r="L38" s="20">
        <f t="shared" si="8"/>
        <v>0.97312368020190365</v>
      </c>
    </row>
    <row r="39" spans="1:12" x14ac:dyDescent="0.3">
      <c r="A39" s="30" t="s">
        <v>61</v>
      </c>
      <c r="E39" s="16" t="s">
        <v>22</v>
      </c>
      <c r="F39" s="16" t="s">
        <v>71</v>
      </c>
      <c r="I39">
        <v>9</v>
      </c>
      <c r="J39" s="16">
        <v>-0.55740144820378634</v>
      </c>
      <c r="K39">
        <v>0.17982503860030466</v>
      </c>
      <c r="L39" s="20">
        <f t="shared" si="8"/>
        <v>0.4240578245950718</v>
      </c>
    </row>
    <row r="40" spans="1:12" x14ac:dyDescent="0.3">
      <c r="A40" s="28" t="s">
        <v>77</v>
      </c>
      <c r="E40" s="29" t="s">
        <v>14</v>
      </c>
      <c r="F40" s="16" t="s">
        <v>71</v>
      </c>
      <c r="I40">
        <v>3</v>
      </c>
      <c r="J40" s="29">
        <v>0</v>
      </c>
      <c r="K40">
        <v>0.66666666666666663</v>
      </c>
      <c r="L40" s="20">
        <f t="shared" si="8"/>
        <v>0.81649658092772603</v>
      </c>
    </row>
    <row r="41" spans="1:12" x14ac:dyDescent="0.3">
      <c r="A41" t="s">
        <v>70</v>
      </c>
      <c r="B41" s="16"/>
      <c r="C41" s="16"/>
      <c r="D41" s="16"/>
      <c r="E41" s="16" t="s">
        <v>14</v>
      </c>
      <c r="F41" s="16" t="s">
        <v>78</v>
      </c>
      <c r="J41" s="16">
        <v>0.49252499140036027</v>
      </c>
      <c r="K41" s="16">
        <v>0.51516130419712036</v>
      </c>
      <c r="L41" s="20">
        <f t="shared" si="8"/>
        <v>0.71774738188106291</v>
      </c>
    </row>
    <row r="42" spans="1:12" x14ac:dyDescent="0.3">
      <c r="A42" t="s">
        <v>79</v>
      </c>
      <c r="B42" s="16"/>
      <c r="C42" s="16"/>
      <c r="D42" s="16"/>
      <c r="E42" s="16" t="s">
        <v>14</v>
      </c>
      <c r="F42" s="16" t="s">
        <v>78</v>
      </c>
      <c r="J42" s="16">
        <v>4.3875000000000011</v>
      </c>
      <c r="K42" s="16">
        <v>2.2708463541666677</v>
      </c>
      <c r="L42" s="20">
        <f t="shared" si="8"/>
        <v>1.5069327636516061</v>
      </c>
    </row>
    <row r="43" spans="1:12" x14ac:dyDescent="0.3">
      <c r="A43" t="s">
        <v>80</v>
      </c>
      <c r="B43" s="16"/>
      <c r="C43" s="16"/>
      <c r="D43" s="16"/>
      <c r="E43" s="16" t="s">
        <v>14</v>
      </c>
      <c r="F43" s="16" t="s">
        <v>78</v>
      </c>
      <c r="J43" s="16">
        <v>2.524652130606075</v>
      </c>
      <c r="K43" s="16">
        <v>1.1978223650478161</v>
      </c>
      <c r="L43" s="20">
        <f t="shared" si="8"/>
        <v>1.0944507138504758</v>
      </c>
    </row>
    <row r="44" spans="1:12" x14ac:dyDescent="0.3">
      <c r="A44" t="s">
        <v>81</v>
      </c>
      <c r="B44" s="16"/>
      <c r="C44" s="16"/>
      <c r="D44" s="16"/>
      <c r="E44" s="16" t="s">
        <v>22</v>
      </c>
      <c r="F44" s="16" t="s">
        <v>78</v>
      </c>
      <c r="J44" s="16">
        <v>15.11475477891347</v>
      </c>
      <c r="K44" s="16">
        <v>19.704651002223969</v>
      </c>
      <c r="L44" s="20">
        <f t="shared" si="8"/>
        <v>4.438992115584794</v>
      </c>
    </row>
    <row r="45" spans="1:12" x14ac:dyDescent="0.3">
      <c r="A45" t="s">
        <v>82</v>
      </c>
      <c r="B45" s="16"/>
      <c r="C45" s="16"/>
      <c r="D45" s="16"/>
      <c r="E45" s="16" t="s">
        <v>22</v>
      </c>
      <c r="F45" s="16" t="s">
        <v>78</v>
      </c>
      <c r="J45" s="16">
        <v>5.6718107076860109</v>
      </c>
      <c r="K45" s="16">
        <v>3.3474530586518072</v>
      </c>
      <c r="L45" s="20">
        <f t="shared" si="8"/>
        <v>1.8296046181215786</v>
      </c>
    </row>
    <row r="46" spans="1:12" x14ac:dyDescent="0.3">
      <c r="A46" t="s">
        <v>83</v>
      </c>
      <c r="B46" s="16"/>
      <c r="C46" s="16"/>
      <c r="D46" s="16"/>
      <c r="E46" s="16" t="s">
        <v>22</v>
      </c>
      <c r="F46" s="16" t="s">
        <v>78</v>
      </c>
      <c r="J46" s="16">
        <v>12.335219902766353</v>
      </c>
      <c r="K46" s="16">
        <v>5.021593230716765</v>
      </c>
      <c r="L46" s="20">
        <f>SQRT(K46)</f>
        <v>2.2408911688693776</v>
      </c>
    </row>
    <row r="47" spans="1:12" x14ac:dyDescent="0.3">
      <c r="A47" t="s">
        <v>84</v>
      </c>
      <c r="B47" s="16"/>
      <c r="C47" s="16"/>
      <c r="D47" s="16"/>
      <c r="E47" s="16" t="s">
        <v>14</v>
      </c>
      <c r="F47" s="16" t="s">
        <v>78</v>
      </c>
      <c r="J47" s="16">
        <v>58.09952171655857</v>
      </c>
      <c r="K47" s="16">
        <v>281.96286864107174</v>
      </c>
      <c r="L47" s="20">
        <f t="shared" si="8"/>
        <v>16.791750017227859</v>
      </c>
    </row>
    <row r="48" spans="1:12" x14ac:dyDescent="0.3">
      <c r="A48" t="s">
        <v>72</v>
      </c>
      <c r="B48" s="16"/>
      <c r="C48" s="16"/>
      <c r="D48" s="16"/>
      <c r="E48" s="16" t="s">
        <v>14</v>
      </c>
      <c r="F48" s="16" t="s">
        <v>78</v>
      </c>
      <c r="J48" s="16">
        <v>0.74267242515195142</v>
      </c>
      <c r="K48" s="16">
        <v>0.71263019425675667</v>
      </c>
      <c r="L48" s="20">
        <f t="shared" si="8"/>
        <v>0.84417426770587878</v>
      </c>
    </row>
    <row r="49" spans="1:12" x14ac:dyDescent="0.3">
      <c r="A49" t="s">
        <v>73</v>
      </c>
      <c r="B49" s="16"/>
      <c r="C49" s="16"/>
      <c r="D49" s="16"/>
      <c r="E49" s="16" t="s">
        <v>22</v>
      </c>
      <c r="F49" s="16" t="s">
        <v>78</v>
      </c>
      <c r="J49" s="16">
        <v>9.0220923485139686</v>
      </c>
      <c r="K49" s="16">
        <v>42.699075172557137</v>
      </c>
      <c r="L49" s="20">
        <f t="shared" si="8"/>
        <v>6.5344529359814914</v>
      </c>
    </row>
    <row r="50" spans="1:12" x14ac:dyDescent="0.3">
      <c r="A50" t="s">
        <v>85</v>
      </c>
      <c r="B50" s="16"/>
      <c r="C50" s="16"/>
      <c r="D50" s="16"/>
      <c r="E50" s="16" t="s">
        <v>22</v>
      </c>
      <c r="F50" s="16" t="s">
        <v>78</v>
      </c>
      <c r="J50" s="16">
        <v>6.7301440964801778</v>
      </c>
      <c r="K50" s="16">
        <v>6.6618549449233733</v>
      </c>
      <c r="L50" s="20">
        <f t="shared" si="8"/>
        <v>2.5810569433709465</v>
      </c>
    </row>
    <row r="51" spans="1:12" x14ac:dyDescent="0.3">
      <c r="A51" t="s">
        <v>86</v>
      </c>
      <c r="B51" s="16"/>
      <c r="C51" s="16"/>
      <c r="D51" s="16"/>
      <c r="E51" s="16" t="s">
        <v>22</v>
      </c>
      <c r="F51" s="16" t="s">
        <v>78</v>
      </c>
      <c r="J51" s="16">
        <v>-0.78055335881242649</v>
      </c>
      <c r="K51" s="16">
        <v>0.71743862882944665</v>
      </c>
      <c r="L51" s="20">
        <f t="shared" si="8"/>
        <v>0.8470174902736346</v>
      </c>
    </row>
    <row r="52" spans="1:12" x14ac:dyDescent="0.3">
      <c r="A52" t="s">
        <v>74</v>
      </c>
      <c r="B52" s="16"/>
      <c r="C52" s="16"/>
      <c r="D52" s="16"/>
      <c r="E52" s="16" t="s">
        <v>22</v>
      </c>
      <c r="F52" s="16" t="s">
        <v>78</v>
      </c>
      <c r="J52" s="16">
        <v>1.2228496751951974</v>
      </c>
      <c r="K52" s="16">
        <v>0.5934600830078125</v>
      </c>
      <c r="L52" s="20">
        <f t="shared" si="8"/>
        <v>0.77036360441535168</v>
      </c>
    </row>
    <row r="53" spans="1:12" x14ac:dyDescent="0.3">
      <c r="A53" t="s">
        <v>75</v>
      </c>
      <c r="B53" s="16"/>
      <c r="C53" s="16"/>
      <c r="D53" s="16"/>
      <c r="E53" s="16" t="s">
        <v>14</v>
      </c>
      <c r="F53" s="16" t="s">
        <v>78</v>
      </c>
      <c r="J53" s="16">
        <v>14.93399781191761</v>
      </c>
      <c r="K53" s="16">
        <v>14.439018165397497</v>
      </c>
      <c r="L53" s="20">
        <f t="shared" si="8"/>
        <v>3.7998708090404203</v>
      </c>
    </row>
    <row r="54" spans="1:12" x14ac:dyDescent="0.3">
      <c r="A54" t="s">
        <v>87</v>
      </c>
      <c r="B54" s="16"/>
      <c r="C54" s="16"/>
      <c r="D54" s="16"/>
      <c r="E54" s="16" t="s">
        <v>22</v>
      </c>
      <c r="F54" s="16" t="s">
        <v>78</v>
      </c>
      <c r="J54" s="16">
        <v>8.7738104965261545</v>
      </c>
      <c r="K54" s="16">
        <v>26.993250209650842</v>
      </c>
      <c r="L54" s="20">
        <f t="shared" si="8"/>
        <v>5.1955028832299615</v>
      </c>
    </row>
    <row r="55" spans="1:12" x14ac:dyDescent="0.3">
      <c r="A55" t="s">
        <v>88</v>
      </c>
      <c r="B55" s="16"/>
      <c r="C55" s="16"/>
      <c r="D55" s="16"/>
      <c r="E55" s="16" t="s">
        <v>22</v>
      </c>
      <c r="F55" s="16" t="s">
        <v>78</v>
      </c>
      <c r="J55" s="16">
        <v>1.6068357919248903</v>
      </c>
      <c r="K55" s="16">
        <v>0.88182677185090741</v>
      </c>
      <c r="L55" s="20">
        <f t="shared" si="8"/>
        <v>0.93905631985036309</v>
      </c>
    </row>
    <row r="56" spans="1:12" x14ac:dyDescent="0.3">
      <c r="A56" t="s">
        <v>68</v>
      </c>
      <c r="B56" s="16"/>
      <c r="C56" s="16"/>
      <c r="D56" s="16"/>
      <c r="E56" s="16" t="s">
        <v>22</v>
      </c>
      <c r="F56" s="16" t="s">
        <v>78</v>
      </c>
      <c r="J56" s="16">
        <v>1.9658947490288159</v>
      </c>
      <c r="K56" s="16">
        <v>0.35748828019359419</v>
      </c>
      <c r="L56" s="20">
        <f t="shared" si="8"/>
        <v>0.59790323648028043</v>
      </c>
    </row>
    <row r="57" spans="1:12" x14ac:dyDescent="0.3">
      <c r="A57" t="s">
        <v>89</v>
      </c>
      <c r="B57" s="16"/>
      <c r="C57" s="16"/>
      <c r="D57" s="16"/>
      <c r="E57" s="16" t="s">
        <v>22</v>
      </c>
      <c r="F57" s="16" t="s">
        <v>78</v>
      </c>
      <c r="J57" s="16">
        <v>-0.33250196394442466</v>
      </c>
      <c r="K57" s="16">
        <v>0.15224287244544071</v>
      </c>
      <c r="L57" s="20">
        <f t="shared" si="8"/>
        <v>0.390183126807709</v>
      </c>
    </row>
    <row r="58" spans="1:12" x14ac:dyDescent="0.3">
      <c r="A58" s="31" t="s">
        <v>79</v>
      </c>
      <c r="E58" s="16" t="s">
        <v>14</v>
      </c>
      <c r="F58" s="16" t="s">
        <v>90</v>
      </c>
      <c r="J58" s="16">
        <f>[1]Con_Growth!AC2</f>
        <v>-4.9414472981973869</v>
      </c>
      <c r="K58">
        <f>[1]Con_Growth!AD2</f>
        <v>2.7014917834051877</v>
      </c>
      <c r="L58" s="20">
        <f t="shared" si="8"/>
        <v>1.643621545066013</v>
      </c>
    </row>
    <row r="59" spans="1:12" x14ac:dyDescent="0.3">
      <c r="A59" s="31" t="s">
        <v>80</v>
      </c>
      <c r="E59" s="16" t="s">
        <v>14</v>
      </c>
      <c r="F59" s="16" t="s">
        <v>90</v>
      </c>
      <c r="J59" s="16">
        <f>[1]Con_Growth!AC3</f>
        <v>-0.81692438121149402</v>
      </c>
      <c r="K59">
        <f>[1]Con_Growth!AD3</f>
        <v>0.72228045371814853</v>
      </c>
      <c r="L59" s="20">
        <f t="shared" si="8"/>
        <v>0.84987084531600954</v>
      </c>
    </row>
    <row r="60" spans="1:12" x14ac:dyDescent="0.3">
      <c r="A60" s="31" t="s">
        <v>72</v>
      </c>
      <c r="E60" s="16" t="s">
        <v>14</v>
      </c>
      <c r="F60" s="16" t="s">
        <v>90</v>
      </c>
      <c r="J60" s="16">
        <f>[1]Con_Growth!AC4</f>
        <v>-0.11941690159732764</v>
      </c>
      <c r="K60">
        <f>[1]Con_Growth!AD4</f>
        <v>0.66785503303225879</v>
      </c>
      <c r="L60" s="20">
        <f t="shared" si="8"/>
        <v>0.8172239797217522</v>
      </c>
    </row>
    <row r="61" spans="1:12" x14ac:dyDescent="0.3">
      <c r="A61" s="32" t="s">
        <v>81</v>
      </c>
      <c r="E61" s="16" t="s">
        <v>22</v>
      </c>
      <c r="F61" s="16" t="s">
        <v>90</v>
      </c>
      <c r="J61" s="16">
        <f>[1]Con_Growth!AC5</f>
        <v>-0.36838066373857431</v>
      </c>
      <c r="K61">
        <f>[1]Con_Growth!AD5</f>
        <v>0.67797535945137266</v>
      </c>
      <c r="L61" s="20">
        <f t="shared" si="8"/>
        <v>0.82339259132650244</v>
      </c>
    </row>
    <row r="62" spans="1:12" x14ac:dyDescent="0.3">
      <c r="A62" s="32" t="s">
        <v>91</v>
      </c>
      <c r="E62" s="16" t="s">
        <v>14</v>
      </c>
      <c r="F62" s="16" t="s">
        <v>90</v>
      </c>
      <c r="J62" s="16">
        <f>[1]Con_Growth!AC6</f>
        <v>-0.24927898789510963</v>
      </c>
      <c r="K62">
        <f>[1]Con_Growth!AD6</f>
        <v>0.33592250057525042</v>
      </c>
      <c r="L62" s="20">
        <f t="shared" si="8"/>
        <v>0.57958821638750591</v>
      </c>
    </row>
    <row r="63" spans="1:12" x14ac:dyDescent="0.3">
      <c r="A63" s="32" t="s">
        <v>92</v>
      </c>
      <c r="E63" s="16" t="s">
        <v>14</v>
      </c>
      <c r="F63" s="16" t="s">
        <v>90</v>
      </c>
      <c r="J63" s="16">
        <f>[1]Con_Growth!AC7</f>
        <v>0.19905354279210774</v>
      </c>
      <c r="K63">
        <f>[1]Con_Growth!AD7</f>
        <v>0.6699685260748407</v>
      </c>
      <c r="L63" s="20">
        <f t="shared" si="8"/>
        <v>0.81851605120171023</v>
      </c>
    </row>
    <row r="64" spans="1:12" x14ac:dyDescent="0.3">
      <c r="A64" s="32" t="s">
        <v>83</v>
      </c>
      <c r="E64" s="16" t="s">
        <v>22</v>
      </c>
      <c r="F64" s="16" t="s">
        <v>90</v>
      </c>
      <c r="J64" s="16">
        <f>[1]Con_Growth!AC8</f>
        <v>0.41408164253023366</v>
      </c>
      <c r="K64">
        <f>[1]Con_Growth!AD8</f>
        <v>0.27202490437543342</v>
      </c>
      <c r="L64" s="20">
        <f t="shared" si="8"/>
        <v>0.52156006784974773</v>
      </c>
    </row>
    <row r="65" spans="1:12" x14ac:dyDescent="0.3">
      <c r="A65" s="32" t="s">
        <v>86</v>
      </c>
      <c r="E65" s="16" t="s">
        <v>22</v>
      </c>
      <c r="F65" s="16" t="s">
        <v>90</v>
      </c>
      <c r="J65" s="16">
        <f>[1]Con_Growth!AC9</f>
        <v>-0.26732060560024473</v>
      </c>
      <c r="K65">
        <f>[1]Con_Growth!AD9</f>
        <v>0.67262169218154011</v>
      </c>
      <c r="L65" s="20">
        <f t="shared" si="8"/>
        <v>0.82013516701915679</v>
      </c>
    </row>
    <row r="66" spans="1:12" x14ac:dyDescent="0.3">
      <c r="A66" s="32" t="s">
        <v>93</v>
      </c>
      <c r="E66" s="16" t="s">
        <v>14</v>
      </c>
      <c r="F66" s="16" t="s">
        <v>90</v>
      </c>
      <c r="J66" s="16">
        <f>[1]Con_Growth!AC10</f>
        <v>-1.6535308904708408</v>
      </c>
      <c r="K66">
        <f>[1]Con_Growth!AD10</f>
        <v>0.67088527535883069</v>
      </c>
      <c r="L66" s="20">
        <f t="shared" si="8"/>
        <v>0.81907586666854659</v>
      </c>
    </row>
    <row r="67" spans="1:12" x14ac:dyDescent="0.3">
      <c r="A67" s="32" t="s">
        <v>94</v>
      </c>
      <c r="E67" s="16" t="s">
        <v>14</v>
      </c>
      <c r="F67" s="16" t="s">
        <v>90</v>
      </c>
      <c r="J67" s="16">
        <f>[1]Con_Growth!AC11</f>
        <v>0.23753654689565346</v>
      </c>
      <c r="K67">
        <f>[1]Con_Growth!AD11</f>
        <v>0.67136863425925919</v>
      </c>
      <c r="L67" s="20">
        <f t="shared" si="8"/>
        <v>0.81937087711198231</v>
      </c>
    </row>
    <row r="68" spans="1:12" x14ac:dyDescent="0.3">
      <c r="A68" s="33" t="s">
        <v>95</v>
      </c>
      <c r="E68" s="33" t="s">
        <v>14</v>
      </c>
      <c r="F68" t="s">
        <v>15</v>
      </c>
      <c r="G68">
        <v>0.12830060983196456</v>
      </c>
      <c r="H68">
        <v>1.6461046483254003E-2</v>
      </c>
      <c r="I68">
        <v>16</v>
      </c>
      <c r="J68" s="16">
        <v>0.12901163310183197</v>
      </c>
      <c r="K68">
        <v>7.6923076923076927E-2</v>
      </c>
      <c r="L68" s="20">
        <v>0.27735009811261457</v>
      </c>
    </row>
    <row r="69" spans="1:12" x14ac:dyDescent="0.3">
      <c r="A69" s="34" t="s">
        <v>96</v>
      </c>
      <c r="E69" t="s">
        <v>14</v>
      </c>
      <c r="F69" s="16" t="s">
        <v>36</v>
      </c>
      <c r="G69">
        <v>0.3872983346207417</v>
      </c>
      <c r="H69">
        <v>0.15</v>
      </c>
      <c r="I69">
        <v>29</v>
      </c>
      <c r="J69">
        <v>0.40861767640633306</v>
      </c>
      <c r="K69">
        <v>3.8461538461538464E-2</v>
      </c>
      <c r="L69">
        <v>0.19611613513818404</v>
      </c>
    </row>
    <row r="70" spans="1:12" x14ac:dyDescent="0.3">
      <c r="A70" s="16" t="s">
        <v>97</v>
      </c>
      <c r="E70" t="s">
        <v>14</v>
      </c>
      <c r="F70" s="16" t="s">
        <v>78</v>
      </c>
      <c r="J70">
        <v>1.4616636991492562</v>
      </c>
      <c r="K70">
        <v>0.84470506411755719</v>
      </c>
      <c r="L70">
        <v>0.9190783775704644</v>
      </c>
    </row>
    <row r="71" spans="1:12" x14ac:dyDescent="0.3">
      <c r="A71" s="33" t="s">
        <v>98</v>
      </c>
      <c r="E71" t="s">
        <v>14</v>
      </c>
      <c r="F71" s="16" t="s">
        <v>78</v>
      </c>
      <c r="J71">
        <v>4.9961586297242437</v>
      </c>
      <c r="K71">
        <v>2.7468000877806693</v>
      </c>
      <c r="L71">
        <v>1.6573473045142557</v>
      </c>
    </row>
    <row r="72" spans="1:12" x14ac:dyDescent="0.3">
      <c r="A72" s="35" t="s">
        <v>99</v>
      </c>
      <c r="E72" t="s">
        <v>14</v>
      </c>
      <c r="F72" s="16" t="s">
        <v>78</v>
      </c>
      <c r="J72">
        <v>0</v>
      </c>
      <c r="K72">
        <v>0.5</v>
      </c>
      <c r="L72">
        <v>0.70710678118654757</v>
      </c>
    </row>
    <row r="73" spans="1:12" x14ac:dyDescent="0.3">
      <c r="A73" s="35" t="s">
        <v>100</v>
      </c>
      <c r="E73" t="s">
        <v>14</v>
      </c>
      <c r="F73" s="16" t="s">
        <v>78</v>
      </c>
      <c r="J73">
        <v>812.5</v>
      </c>
      <c r="K73">
        <v>55013.6875</v>
      </c>
      <c r="L73">
        <v>234.54996802387333</v>
      </c>
    </row>
    <row r="74" spans="1:12" x14ac:dyDescent="0.3">
      <c r="A74" s="35" t="s">
        <v>101</v>
      </c>
      <c r="E74" t="s">
        <v>14</v>
      </c>
      <c r="F74" s="16" t="s">
        <v>78</v>
      </c>
      <c r="J74">
        <v>-1.1556499296901275</v>
      </c>
      <c r="K74">
        <v>0.777960563332733</v>
      </c>
      <c r="L74">
        <v>0.88202072726933856</v>
      </c>
    </row>
    <row r="75" spans="1:12" x14ac:dyDescent="0.3">
      <c r="A75" t="s">
        <v>102</v>
      </c>
      <c r="E75" t="s">
        <v>22</v>
      </c>
      <c r="F75" s="16" t="s">
        <v>78</v>
      </c>
      <c r="J75">
        <v>-1.2480970676750731</v>
      </c>
      <c r="K75">
        <v>0.29867957157309738</v>
      </c>
      <c r="L75">
        <v>0.546515847504075</v>
      </c>
    </row>
    <row r="76" spans="1:12" x14ac:dyDescent="0.3">
      <c r="A76" t="s">
        <v>103</v>
      </c>
      <c r="E76" t="s">
        <v>14</v>
      </c>
      <c r="F76" s="16" t="s">
        <v>78</v>
      </c>
      <c r="J76">
        <v>1.051773766580141</v>
      </c>
      <c r="K76">
        <v>0.45531140280330884</v>
      </c>
      <c r="L76">
        <v>0.67476766579564917</v>
      </c>
    </row>
    <row r="77" spans="1:12" x14ac:dyDescent="0.3">
      <c r="A77" s="33" t="s">
        <v>97</v>
      </c>
      <c r="E77" s="33" t="s">
        <v>14</v>
      </c>
      <c r="F77" s="16" t="s">
        <v>71</v>
      </c>
      <c r="J77">
        <v>-1.1021787161039482</v>
      </c>
      <c r="K77">
        <v>0.7678998268527123</v>
      </c>
      <c r="L77">
        <v>0.87629893692318961</v>
      </c>
    </row>
    <row r="78" spans="1:12" x14ac:dyDescent="0.3">
      <c r="A78" s="16" t="s">
        <v>99</v>
      </c>
      <c r="E78" s="33" t="s">
        <v>14</v>
      </c>
      <c r="F78" s="16" t="s">
        <v>71</v>
      </c>
      <c r="J78">
        <v>-22.259955480133542</v>
      </c>
      <c r="K78">
        <v>31.469101123595454</v>
      </c>
      <c r="L78">
        <v>5.6097327140956947</v>
      </c>
    </row>
    <row r="79" spans="1:12" x14ac:dyDescent="0.3">
      <c r="A79" s="33" t="s">
        <v>100</v>
      </c>
      <c r="E79" s="33" t="s">
        <v>14</v>
      </c>
      <c r="F79" s="16" t="s">
        <v>71</v>
      </c>
      <c r="J79">
        <v>-0.66358591639016673</v>
      </c>
      <c r="K79">
        <v>0.70336218903594805</v>
      </c>
      <c r="L79">
        <v>0.83866691185234443</v>
      </c>
    </row>
    <row r="80" spans="1:12" x14ac:dyDescent="0.3">
      <c r="A80" s="33" t="s">
        <v>101</v>
      </c>
      <c r="E80" s="33" t="s">
        <v>14</v>
      </c>
      <c r="F80" s="16" t="s">
        <v>71</v>
      </c>
      <c r="J80">
        <v>-1.2859060280981038</v>
      </c>
      <c r="K80">
        <v>0.80446285942492013</v>
      </c>
      <c r="L80">
        <v>0.89691853555655776</v>
      </c>
    </row>
    <row r="81" spans="1:12" x14ac:dyDescent="0.3">
      <c r="A81" t="s">
        <v>100</v>
      </c>
      <c r="E81" t="s">
        <v>14</v>
      </c>
      <c r="F81" s="16" t="s">
        <v>90</v>
      </c>
      <c r="J81">
        <v>-0.2444466456830634</v>
      </c>
      <c r="K81">
        <v>0.67164618021547506</v>
      </c>
      <c r="L81">
        <v>0.81954022489166145</v>
      </c>
    </row>
    <row r="82" spans="1:12" x14ac:dyDescent="0.3">
      <c r="A82" t="s">
        <v>101</v>
      </c>
      <c r="E82" t="s">
        <v>14</v>
      </c>
      <c r="F82" s="16" t="s">
        <v>90</v>
      </c>
      <c r="J82">
        <v>-2.6787888828130599</v>
      </c>
      <c r="K82">
        <v>1.2646591565569034</v>
      </c>
      <c r="L82">
        <v>1.1245706543196401</v>
      </c>
    </row>
    <row r="83" spans="1:12" x14ac:dyDescent="0.3">
      <c r="A83" t="s">
        <v>104</v>
      </c>
      <c r="E83" t="s">
        <v>22</v>
      </c>
      <c r="F83" s="16" t="s">
        <v>90</v>
      </c>
      <c r="J83">
        <v>-6.8043588151382187E-2</v>
      </c>
      <c r="K83">
        <v>0.66705249415737622</v>
      </c>
      <c r="L83">
        <v>0.81673281687304333</v>
      </c>
    </row>
    <row r="84" spans="1:12" x14ac:dyDescent="0.3">
      <c r="A84" t="s">
        <v>102</v>
      </c>
      <c r="E84" t="s">
        <v>22</v>
      </c>
      <c r="F84" s="16" t="s">
        <v>90</v>
      </c>
      <c r="J84">
        <v>1.6645518479162127</v>
      </c>
      <c r="K84">
        <v>0.33658540170003992</v>
      </c>
      <c r="L84">
        <v>0.58015980703599235</v>
      </c>
    </row>
    <row r="85" spans="1:12" x14ac:dyDescent="0.3">
      <c r="A85" t="s">
        <v>103</v>
      </c>
      <c r="E85" t="s">
        <v>14</v>
      </c>
      <c r="F85" s="16" t="s">
        <v>90</v>
      </c>
      <c r="J85">
        <v>-0.78109698251263304</v>
      </c>
      <c r="K85">
        <v>0.43050562480451704</v>
      </c>
      <c r="L85">
        <v>0.65612927446084668</v>
      </c>
    </row>
  </sheetData>
  <conditionalFormatting sqref="A13:A22 A24:A31">
    <cfRule type="duplicateValues" dxfId="23" priority="54"/>
  </conditionalFormatting>
  <conditionalFormatting sqref="A23">
    <cfRule type="duplicateValues" dxfId="22" priority="53"/>
  </conditionalFormatting>
  <conditionalFormatting sqref="A69">
    <cfRule type="duplicateValues" dxfId="21" priority="7"/>
  </conditionalFormatting>
  <conditionalFormatting sqref="C41:D57 J41:K57 F41:F67">
    <cfRule type="cellIs" dxfId="20" priority="29" operator="equal">
      <formula>"maybe"</formula>
    </cfRule>
    <cfRule type="cellIs" dxfId="19" priority="30" operator="equal">
      <formula>"Good"</formula>
    </cfRule>
    <cfRule type="cellIs" dxfId="18" priority="31" operator="equal">
      <formula>"x"</formula>
    </cfRule>
  </conditionalFormatting>
  <conditionalFormatting sqref="E38:E39">
    <cfRule type="cellIs" dxfId="17" priority="47" operator="equal">
      <formula>"maybe"</formula>
    </cfRule>
    <cfRule type="cellIs" dxfId="16" priority="48" operator="equal">
      <formula>"Good"</formula>
    </cfRule>
    <cfRule type="cellIs" dxfId="15" priority="49" operator="equal">
      <formula>"x"</formula>
    </cfRule>
  </conditionalFormatting>
  <conditionalFormatting sqref="E58:E67">
    <cfRule type="cellIs" dxfId="14" priority="8" operator="equal">
      <formula>"maybe"</formula>
    </cfRule>
    <cfRule type="cellIs" dxfId="13" priority="9" operator="equal">
      <formula>"Good"</formula>
    </cfRule>
    <cfRule type="cellIs" dxfId="12" priority="10" operator="equal">
      <formula>"x"</formula>
    </cfRule>
  </conditionalFormatting>
  <conditionalFormatting sqref="F70:F76">
    <cfRule type="cellIs" dxfId="11" priority="4" operator="equal">
      <formula>"maybe"</formula>
    </cfRule>
    <cfRule type="cellIs" dxfId="10" priority="5" operator="equal">
      <formula>"Good"</formula>
    </cfRule>
    <cfRule type="cellIs" dxfId="9" priority="6" operator="equal">
      <formula>"x"</formula>
    </cfRule>
  </conditionalFormatting>
  <conditionalFormatting sqref="F81:F85">
    <cfRule type="cellIs" dxfId="8" priority="1" operator="equal">
      <formula>"maybe"</formula>
    </cfRule>
    <cfRule type="cellIs" dxfId="7" priority="2" operator="equal">
      <formula>"Good"</formula>
    </cfRule>
    <cfRule type="cellIs" dxfId="6" priority="3" operator="equal">
      <formula>"x"</formula>
    </cfRule>
  </conditionalFormatting>
  <conditionalFormatting sqref="J38:J39">
    <cfRule type="cellIs" dxfId="5" priority="44" operator="equal">
      <formula>"maybe"</formula>
    </cfRule>
    <cfRule type="cellIs" dxfId="4" priority="45" operator="equal">
      <formula>"Good"</formula>
    </cfRule>
    <cfRule type="cellIs" dxfId="3" priority="46" operator="equal">
      <formula>"x"</formula>
    </cfRule>
  </conditionalFormatting>
  <conditionalFormatting sqref="J58:J68">
    <cfRule type="cellIs" dxfId="2" priority="11" operator="equal">
      <formula>"maybe"</formula>
    </cfRule>
    <cfRule type="cellIs" dxfId="1" priority="12" operator="equal">
      <formula>"Good"</formula>
    </cfRule>
    <cfRule type="cellIs" dxfId="0" priority="13" operator="equal">
      <formula>"x"</formula>
    </cfRule>
  </conditionalFormatting>
  <hyperlinks>
    <hyperlink ref="A32" r:id="rId1" location=":~:text=increase%20larval%20mortality.-,Conclusion,28%20psu%20under%20laboratory%20conditions." xr:uid="{3067219C-7C70-45FF-BA14-668568F06A99}"/>
    <hyperlink ref="A40" r:id="rId2" xr:uid="{8766CF15-8CF5-4CEE-AE06-2A6E74C11F6F}"/>
    <hyperlink ref="A33" r:id="rId3" xr:uid="{0CB9366A-321C-44AC-9D76-7ADA70D10E62}"/>
    <hyperlink ref="A34" r:id="rId4" xr:uid="{59AEB16D-D4CB-47BE-87ED-DF7A7753A8CB}"/>
    <hyperlink ref="A35" r:id="rId5" xr:uid="{0307F770-8457-448D-8B48-C552BE516B39}"/>
    <hyperlink ref="A36" r:id="rId6" xr:uid="{B746C5A6-8AC6-4F3A-B1D3-D6632E94221E}"/>
    <hyperlink ref="A37" r:id="rId7" xr:uid="{C0530D67-B015-4A34-8DE9-346AEDC19523}"/>
    <hyperlink ref="A38" r:id="rId8" xr:uid="{C7514374-93C9-4B52-AB2C-FD031ECD7D08}"/>
    <hyperlink ref="A39" r:id="rId9" xr:uid="{F3548873-55C5-4A61-966E-2D09A6F6E0B2}"/>
    <hyperlink ref="A58" r:id="rId10" display="Ren, et al., 2019" xr:uid="{B2C7F378-EAFF-45AD-8900-8BD81A58D1CB}"/>
    <hyperlink ref="A59" r:id="rId11" display="Ren, et al., 2019" xr:uid="{14FF6501-A81A-41B6-BF6B-BD185AD3C844}"/>
    <hyperlink ref="A60" r:id="rId12" xr:uid="{ED662348-02D3-44BE-A772-601BB43FE374}"/>
    <hyperlink ref="A61" r:id="rId13" xr:uid="{B0E09A0D-205C-47C3-B8DB-6FE72309EB6C}"/>
    <hyperlink ref="A62" r:id="rId14" xr:uid="{F707E8F7-C944-4AAF-A1DA-0E9D24A8DD86}"/>
    <hyperlink ref="A63" r:id="rId15" xr:uid="{C6D47430-0176-4A52-ABA1-1F5BAEC47BC3}"/>
    <hyperlink ref="A64" r:id="rId16" xr:uid="{2C29AC94-3C46-4C05-8B39-59DF95027F72}"/>
    <hyperlink ref="A65" r:id="rId17" xr:uid="{F8C5022A-7653-4ECC-942F-296B85181DA1}"/>
    <hyperlink ref="A66" r:id="rId18" display="Huang, et al., 2010" xr:uid="{7AA7EF2B-E571-40EC-9BB4-FDB3220885F6}"/>
    <hyperlink ref="A67" r:id="rId19" display="Huang, et al., 2010" xr:uid="{74613D8B-6777-4EA3-BDB9-CE5615E4D6B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Sosa</dc:creator>
  <cp:lastModifiedBy>Brandon Sosa</cp:lastModifiedBy>
  <dcterms:created xsi:type="dcterms:W3CDTF">2015-06-05T18:17:20Z</dcterms:created>
  <dcterms:modified xsi:type="dcterms:W3CDTF">2025-12-22T17:03:22Z</dcterms:modified>
</cp:coreProperties>
</file>